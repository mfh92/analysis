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h stuff\amazing mh research\"/>
    </mc:Choice>
  </mc:AlternateContent>
  <xr:revisionPtr revIDLastSave="0" documentId="13_ncr:1_{765EDB39-9082-491B-BFEE-3F702F5A6D20}" xr6:coauthVersionLast="47" xr6:coauthVersionMax="47" xr10:uidLastSave="{00000000-0000-0000-0000-000000000000}"/>
  <bookViews>
    <workbookView xWindow="2688" yWindow="2688" windowWidth="9888" windowHeight="8616" activeTab="2" xr2:uid="{4B404C85-CAE9-4FBA-A812-8815A41770E6}"/>
  </bookViews>
  <sheets>
    <sheet name="data" sheetId="1" r:id="rId1"/>
    <sheet name="stats" sheetId="3" r:id="rId2"/>
    <sheet name="viz" sheetId="5" r:id="rId3"/>
    <sheet name="src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7" i="1" l="1"/>
  <c r="E1268" i="1" s="1"/>
  <c r="F108" i="3"/>
  <c r="E110" i="3" s="1"/>
  <c r="B108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C24" i="3"/>
  <c r="B24" i="3" s="1"/>
  <c r="D24" i="3" s="1"/>
  <c r="C76" i="3"/>
  <c r="B76" i="3" s="1"/>
  <c r="D76" i="3" s="1"/>
  <c r="C22" i="3"/>
  <c r="B22" i="3" s="1"/>
  <c r="D22" i="3" s="1"/>
  <c r="C56" i="3"/>
  <c r="B56" i="3" s="1"/>
  <c r="D56" i="3" s="1"/>
  <c r="C52" i="3"/>
  <c r="B52" i="3" s="1"/>
  <c r="D52" i="3" s="1"/>
  <c r="C20" i="3"/>
  <c r="B20" i="3" s="1"/>
  <c r="D20" i="3" s="1"/>
  <c r="C39" i="3"/>
  <c r="B39" i="3" s="1"/>
  <c r="D39" i="3" s="1"/>
  <c r="C67" i="3"/>
  <c r="B67" i="3" s="1"/>
  <c r="D67" i="3" s="1"/>
  <c r="C82" i="3"/>
  <c r="B82" i="3" s="1"/>
  <c r="D82" i="3" s="1"/>
  <c r="C10" i="3"/>
  <c r="B10" i="3" s="1"/>
  <c r="D10" i="3" s="1"/>
  <c r="C97" i="3"/>
  <c r="B97" i="3" s="1"/>
  <c r="D97" i="3" s="1"/>
  <c r="C49" i="3"/>
  <c r="B49" i="3" s="1"/>
  <c r="D49" i="3" s="1"/>
  <c r="C23" i="3"/>
  <c r="B23" i="3" s="1"/>
  <c r="D23" i="3" s="1"/>
  <c r="C77" i="3"/>
  <c r="B77" i="3" s="1"/>
  <c r="D77" i="3" s="1"/>
  <c r="C31" i="3"/>
  <c r="B31" i="3" s="1"/>
  <c r="D31" i="3" s="1"/>
  <c r="C32" i="3"/>
  <c r="B32" i="3" s="1"/>
  <c r="D32" i="3" s="1"/>
  <c r="C25" i="3"/>
  <c r="B25" i="3" s="1"/>
  <c r="D25" i="3" s="1"/>
  <c r="C93" i="3"/>
  <c r="B93" i="3" s="1"/>
  <c r="D93" i="3" s="1"/>
  <c r="C55" i="3"/>
  <c r="B55" i="3" s="1"/>
  <c r="D55" i="3" s="1"/>
  <c r="C50" i="3"/>
  <c r="B50" i="3" s="1"/>
  <c r="D50" i="3" s="1"/>
  <c r="C17" i="3"/>
  <c r="B17" i="3" s="1"/>
  <c r="D17" i="3" s="1"/>
  <c r="C69" i="3"/>
  <c r="B69" i="3" s="1"/>
  <c r="D69" i="3" s="1"/>
  <c r="C6" i="3"/>
  <c r="B6" i="3" s="1"/>
  <c r="D6" i="3" s="1"/>
  <c r="C34" i="3"/>
  <c r="B34" i="3" s="1"/>
  <c r="D34" i="3" s="1"/>
  <c r="C36" i="3"/>
  <c r="B36" i="3" s="1"/>
  <c r="D36" i="3" s="1"/>
  <c r="C19" i="3"/>
  <c r="B19" i="3" s="1"/>
  <c r="D19" i="3" s="1"/>
  <c r="C98" i="3"/>
  <c r="B98" i="3" s="1"/>
  <c r="D98" i="3" s="1"/>
  <c r="F98" i="3" s="1"/>
  <c r="C11" i="3"/>
  <c r="B11" i="3" s="1"/>
  <c r="D11" i="3" s="1"/>
  <c r="C27" i="3"/>
  <c r="B27" i="3" s="1"/>
  <c r="D27" i="3" s="1"/>
  <c r="C68" i="3"/>
  <c r="B68" i="3" s="1"/>
  <c r="D68" i="3" s="1"/>
  <c r="C100" i="3"/>
  <c r="B100" i="3" s="1"/>
  <c r="D100" i="3" s="1"/>
  <c r="C13" i="3"/>
  <c r="B13" i="3" s="1"/>
  <c r="D13" i="3" s="1"/>
  <c r="C70" i="3"/>
  <c r="B70" i="3" s="1"/>
  <c r="D70" i="3" s="1"/>
  <c r="C58" i="3"/>
  <c r="B58" i="3" s="1"/>
  <c r="D58" i="3" s="1"/>
  <c r="C14" i="3"/>
  <c r="B14" i="3" s="1"/>
  <c r="D14" i="3" s="1"/>
  <c r="C46" i="3"/>
  <c r="B46" i="3" s="1"/>
  <c r="D46" i="3" s="1"/>
  <c r="C84" i="3"/>
  <c r="B84" i="3" s="1"/>
  <c r="D84" i="3" s="1"/>
  <c r="C40" i="3"/>
  <c r="B40" i="3" s="1"/>
  <c r="D40" i="3" s="1"/>
  <c r="C88" i="3"/>
  <c r="B88" i="3" s="1"/>
  <c r="D88" i="3" s="1"/>
  <c r="C78" i="3"/>
  <c r="B78" i="3" s="1"/>
  <c r="D78" i="3" s="1"/>
  <c r="C87" i="3"/>
  <c r="B87" i="3" s="1"/>
  <c r="D87" i="3" s="1"/>
  <c r="C41" i="3"/>
  <c r="B41" i="3" s="1"/>
  <c r="D41" i="3" s="1"/>
  <c r="C94" i="3"/>
  <c r="B94" i="3" s="1"/>
  <c r="D94" i="3" s="1"/>
  <c r="C91" i="3"/>
  <c r="B91" i="3" s="1"/>
  <c r="D91" i="3" s="1"/>
  <c r="C7" i="3"/>
  <c r="B7" i="3" s="1"/>
  <c r="D7" i="3" s="1"/>
  <c r="C29" i="3"/>
  <c r="B29" i="3" s="1"/>
  <c r="D29" i="3" s="1"/>
  <c r="C21" i="3"/>
  <c r="B21" i="3" s="1"/>
  <c r="D21" i="3" s="1"/>
  <c r="C28" i="3"/>
  <c r="B28" i="3" s="1"/>
  <c r="D28" i="3" s="1"/>
  <c r="C45" i="3"/>
  <c r="B45" i="3" s="1"/>
  <c r="D45" i="3" s="1"/>
  <c r="C60" i="3"/>
  <c r="B60" i="3" s="1"/>
  <c r="D60" i="3" s="1"/>
  <c r="C42" i="3"/>
  <c r="B42" i="3" s="1"/>
  <c r="D42" i="3" s="1"/>
  <c r="C47" i="3"/>
  <c r="B47" i="3" s="1"/>
  <c r="D47" i="3" s="1"/>
  <c r="C81" i="3"/>
  <c r="B81" i="3" s="1"/>
  <c r="D81" i="3" s="1"/>
  <c r="C53" i="3"/>
  <c r="B53" i="3" s="1"/>
  <c r="D53" i="3" s="1"/>
  <c r="C62" i="3"/>
  <c r="B62" i="3" s="1"/>
  <c r="D62" i="3" s="1"/>
  <c r="C8" i="3"/>
  <c r="B8" i="3" s="1"/>
  <c r="D8" i="3" s="1"/>
  <c r="C12" i="3"/>
  <c r="B12" i="3" s="1"/>
  <c r="D12" i="3" s="1"/>
  <c r="C30" i="3"/>
  <c r="B30" i="3" s="1"/>
  <c r="D30" i="3" s="1"/>
  <c r="C75" i="3"/>
  <c r="B75" i="3" s="1"/>
  <c r="D75" i="3" s="1"/>
  <c r="F75" i="3" s="1"/>
  <c r="C26" i="3"/>
  <c r="B26" i="3" s="1"/>
  <c r="D26" i="3" s="1"/>
  <c r="C73" i="3"/>
  <c r="B73" i="3" s="1"/>
  <c r="D73" i="3" s="1"/>
  <c r="C35" i="3"/>
  <c r="B35" i="3" s="1"/>
  <c r="D35" i="3" s="1"/>
  <c r="C61" i="3"/>
  <c r="B61" i="3" s="1"/>
  <c r="D61" i="3" s="1"/>
  <c r="C90" i="3"/>
  <c r="B90" i="3" s="1"/>
  <c r="D90" i="3" s="1"/>
  <c r="C65" i="3"/>
  <c r="B65" i="3" s="1"/>
  <c r="D65" i="3" s="1"/>
  <c r="C54" i="3"/>
  <c r="B54" i="3" s="1"/>
  <c r="D54" i="3" s="1"/>
  <c r="C71" i="3"/>
  <c r="B71" i="3" s="1"/>
  <c r="D71" i="3" s="1"/>
  <c r="C74" i="3"/>
  <c r="B74" i="3" s="1"/>
  <c r="D74" i="3" s="1"/>
  <c r="C92" i="3"/>
  <c r="B92" i="3" s="1"/>
  <c r="D92" i="3" s="1"/>
  <c r="C79" i="3"/>
  <c r="B79" i="3" s="1"/>
  <c r="D79" i="3" s="1"/>
  <c r="C15" i="3"/>
  <c r="B15" i="3" s="1"/>
  <c r="D15" i="3" s="1"/>
  <c r="C99" i="3"/>
  <c r="B99" i="3" s="1"/>
  <c r="D99" i="3" s="1"/>
  <c r="C95" i="3"/>
  <c r="B95" i="3" s="1"/>
  <c r="D95" i="3" s="1"/>
  <c r="C86" i="3"/>
  <c r="B86" i="3" s="1"/>
  <c r="D86" i="3" s="1"/>
  <c r="C63" i="3"/>
  <c r="B63" i="3" s="1"/>
  <c r="D63" i="3" s="1"/>
  <c r="C64" i="3"/>
  <c r="B64" i="3" s="1"/>
  <c r="D64" i="3" s="1"/>
  <c r="C33" i="3"/>
  <c r="B33" i="3" s="1"/>
  <c r="D33" i="3" s="1"/>
  <c r="C18" i="3"/>
  <c r="B18" i="3" s="1"/>
  <c r="D18" i="3" s="1"/>
  <c r="C80" i="3"/>
  <c r="B80" i="3" s="1"/>
  <c r="D80" i="3" s="1"/>
  <c r="C37" i="3"/>
  <c r="B37" i="3" s="1"/>
  <c r="D37" i="3" s="1"/>
  <c r="C89" i="3"/>
  <c r="B89" i="3" s="1"/>
  <c r="D89" i="3" s="1"/>
  <c r="C4" i="3"/>
  <c r="B4" i="3" s="1"/>
  <c r="D4" i="3" s="1"/>
  <c r="C72" i="3"/>
  <c r="B72" i="3" s="1"/>
  <c r="D72" i="3" s="1"/>
  <c r="C48" i="3"/>
  <c r="B48" i="3" s="1"/>
  <c r="D48" i="3" s="1"/>
  <c r="C51" i="3"/>
  <c r="B51" i="3" s="1"/>
  <c r="D51" i="3" s="1"/>
  <c r="C44" i="3"/>
  <c r="B44" i="3" s="1"/>
  <c r="D44" i="3" s="1"/>
  <c r="C5" i="3"/>
  <c r="B5" i="3" s="1"/>
  <c r="D5" i="3" s="1"/>
  <c r="C59" i="3"/>
  <c r="B59" i="3" s="1"/>
  <c r="D59" i="3" s="1"/>
  <c r="C85" i="3"/>
  <c r="B85" i="3" s="1"/>
  <c r="D85" i="3" s="1"/>
  <c r="C66" i="3"/>
  <c r="B66" i="3" s="1"/>
  <c r="D66" i="3" s="1"/>
  <c r="C43" i="3"/>
  <c r="B43" i="3" s="1"/>
  <c r="D43" i="3" s="1"/>
  <c r="C96" i="3"/>
  <c r="B96" i="3" s="1"/>
  <c r="D96" i="3" s="1"/>
  <c r="C9" i="3"/>
  <c r="B9" i="3" s="1"/>
  <c r="D9" i="3" s="1"/>
  <c r="C83" i="3"/>
  <c r="B83" i="3" s="1"/>
  <c r="D83" i="3" s="1"/>
  <c r="C38" i="3"/>
  <c r="B38" i="3" s="1"/>
  <c r="D38" i="3" s="1"/>
  <c r="C16" i="3"/>
  <c r="B16" i="3" s="1"/>
  <c r="D16" i="3" s="1"/>
  <c r="C57" i="3"/>
  <c r="B57" i="3" s="1"/>
  <c r="D57" i="3" s="1"/>
  <c r="F90" i="3" l="1"/>
  <c r="C101" i="3"/>
  <c r="E101" i="3"/>
  <c r="E109" i="3" s="1"/>
  <c r="E111" i="3" s="1"/>
  <c r="F63" i="3"/>
  <c r="F62" i="3"/>
  <c r="F78" i="3"/>
  <c r="F81" i="3"/>
  <c r="F52" i="3"/>
  <c r="F8" i="3"/>
  <c r="F43" i="3"/>
  <c r="F28" i="3"/>
  <c r="F13" i="3"/>
  <c r="F34" i="3"/>
  <c r="F82" i="3"/>
  <c r="F92" i="3"/>
  <c r="F46" i="3"/>
  <c r="F56" i="3"/>
  <c r="F51" i="3"/>
  <c r="F19" i="3"/>
  <c r="F47" i="3"/>
  <c r="F87" i="3"/>
  <c r="F39" i="3"/>
  <c r="F74" i="3"/>
  <c r="F84" i="3"/>
  <c r="F50" i="3"/>
  <c r="F48" i="3"/>
  <c r="F94" i="3"/>
  <c r="F37" i="3"/>
  <c r="F59" i="3"/>
  <c r="F99" i="3"/>
  <c r="F32" i="3"/>
  <c r="F86" i="3"/>
  <c r="F30" i="3"/>
  <c r="F41" i="3"/>
  <c r="F36" i="3"/>
  <c r="F67" i="3"/>
  <c r="F96" i="3"/>
  <c r="F85" i="3"/>
  <c r="F15" i="3"/>
  <c r="F5" i="3"/>
  <c r="F76" i="3"/>
  <c r="F93" i="3"/>
  <c r="F58" i="3"/>
  <c r="F66" i="3"/>
  <c r="F95" i="3"/>
  <c r="F12" i="3"/>
  <c r="F54" i="3"/>
  <c r="F60" i="3"/>
  <c r="F6" i="3"/>
  <c r="F88" i="3"/>
  <c r="F4" i="3"/>
  <c r="F10" i="3"/>
  <c r="F16" i="3"/>
  <c r="F70" i="3"/>
  <c r="F40" i="3"/>
  <c r="F44" i="3"/>
  <c r="F97" i="3"/>
  <c r="F89" i="3"/>
  <c r="F73" i="3"/>
  <c r="F7" i="3"/>
  <c r="F27" i="3"/>
  <c r="F23" i="3"/>
  <c r="F69" i="3"/>
  <c r="F57" i="3"/>
  <c r="F79" i="3"/>
  <c r="F71" i="3"/>
  <c r="F14" i="3"/>
  <c r="F55" i="3"/>
  <c r="F29" i="3"/>
  <c r="F91" i="3"/>
  <c r="F11" i="3"/>
  <c r="F49" i="3"/>
  <c r="F17" i="3"/>
  <c r="F22" i="3"/>
  <c r="F45" i="3"/>
  <c r="F25" i="3"/>
  <c r="F24" i="3"/>
  <c r="F61" i="3"/>
  <c r="F31" i="3"/>
  <c r="F72" i="3"/>
  <c r="F80" i="3"/>
  <c r="F21" i="3"/>
  <c r="F100" i="3"/>
  <c r="F38" i="3"/>
  <c r="F18" i="3"/>
  <c r="F35" i="3"/>
  <c r="F68" i="3"/>
  <c r="F77" i="3"/>
  <c r="F83" i="3"/>
  <c r="F33" i="3"/>
  <c r="F53" i="3"/>
  <c r="F20" i="3"/>
  <c r="F42" i="3"/>
  <c r="F65" i="3"/>
  <c r="F9" i="3"/>
  <c r="F64" i="3"/>
  <c r="F26" i="3"/>
</calcChain>
</file>

<file path=xl/sharedStrings.xml><?xml version="1.0" encoding="utf-8"?>
<sst xmlns="http://schemas.openxmlformats.org/spreadsheetml/2006/main" count="1728" uniqueCount="333">
  <si>
    <t>memberID</t>
  </si>
  <si>
    <t>count</t>
  </si>
  <si>
    <t>Diablo Valley College</t>
  </si>
  <si>
    <t>De Anza College</t>
  </si>
  <si>
    <t>Santa Rosa Junior College</t>
  </si>
  <si>
    <t>San Joaquin Delta College</t>
  </si>
  <si>
    <t>Sacramento City College</t>
  </si>
  <si>
    <t>Modesto Junior College</t>
  </si>
  <si>
    <t>College of San Mateo</t>
  </si>
  <si>
    <t>Ohlone College</t>
  </si>
  <si>
    <t>College of the Sequoias</t>
  </si>
  <si>
    <t>Cañada College</t>
  </si>
  <si>
    <t>Las Positas College</t>
  </si>
  <si>
    <t>Los Angeles Pierce College</t>
  </si>
  <si>
    <t>Evergreen Valley College</t>
  </si>
  <si>
    <t>West Los Angeles College</t>
  </si>
  <si>
    <t>Solano Community College</t>
  </si>
  <si>
    <t>San Jose State University</t>
  </si>
  <si>
    <t>American River College</t>
  </si>
  <si>
    <t>Santiago Canyon College</t>
  </si>
  <si>
    <t>San Jose City College</t>
  </si>
  <si>
    <t>Lake Tahoe Community College</t>
  </si>
  <si>
    <t>Napa Valley College</t>
  </si>
  <si>
    <t>Sierra College</t>
  </si>
  <si>
    <t>Gavilan College</t>
  </si>
  <si>
    <t>UC Santa Cruz</t>
  </si>
  <si>
    <t>El Camino College</t>
  </si>
  <si>
    <t>New Mexico State - Grants Campus</t>
  </si>
  <si>
    <t>Foothill College</t>
  </si>
  <si>
    <t>Colorado Mountain College</t>
  </si>
  <si>
    <t>Bakersfield College</t>
  </si>
  <si>
    <t>Mission College</t>
  </si>
  <si>
    <t>Yuba College</t>
  </si>
  <si>
    <t>Cabrillo College</t>
  </si>
  <si>
    <t>Santa Barbara City College</t>
  </si>
  <si>
    <t>Citrus College</t>
  </si>
  <si>
    <t>Community College of Vermont</t>
  </si>
  <si>
    <t>Columbia College</t>
  </si>
  <si>
    <t>Western Washington University</t>
  </si>
  <si>
    <t>City College of San Francisco</t>
  </si>
  <si>
    <t>College of Marin</t>
  </si>
  <si>
    <t>Chabot College</t>
  </si>
  <si>
    <t>Fresno City College</t>
  </si>
  <si>
    <t>CSU Fullerton</t>
  </si>
  <si>
    <t>San Diego Mesa College</t>
  </si>
  <si>
    <t>Glendale C.C. (AZ)</t>
  </si>
  <si>
    <t>College of the Redwoods</t>
  </si>
  <si>
    <t>Cuesta College</t>
  </si>
  <si>
    <t>Los Angeles Valley College</t>
  </si>
  <si>
    <t>Monterey Peninsula College</t>
  </si>
  <si>
    <t>UC San Diego</t>
  </si>
  <si>
    <t xml:space="preserve">CSU Sacramento </t>
  </si>
  <si>
    <t>Cosumnes River College</t>
  </si>
  <si>
    <t>Los Medanos College</t>
  </si>
  <si>
    <t>Ventura College</t>
  </si>
  <si>
    <t>UC Davis</t>
  </si>
  <si>
    <t>Norco College</t>
  </si>
  <si>
    <t>Laney College</t>
  </si>
  <si>
    <t>College of Alameda</t>
  </si>
  <si>
    <t>Victor Valley College</t>
  </si>
  <si>
    <t>Humboldt State University</t>
  </si>
  <si>
    <t>Allan Hancock College</t>
  </si>
  <si>
    <t>East Los Angeles College</t>
  </si>
  <si>
    <t>MiraCosta College</t>
  </si>
  <si>
    <t>Butte College</t>
  </si>
  <si>
    <t>Oregon State University</t>
  </si>
  <si>
    <t>Orange Coast College</t>
  </si>
  <si>
    <t>Shasta College</t>
  </si>
  <si>
    <t>Michigan State University</t>
  </si>
  <si>
    <t>Grossmont College</t>
  </si>
  <si>
    <t>Contra Costa College</t>
  </si>
  <si>
    <t>Berkeley City College</t>
  </si>
  <si>
    <t>Skyline College</t>
  </si>
  <si>
    <t>Mendocino College</t>
  </si>
  <si>
    <t>Santa Ana College</t>
  </si>
  <si>
    <t>University of Florida</t>
  </si>
  <si>
    <t>American International School of Egypt</t>
  </si>
  <si>
    <t>College of Southern Nevada</t>
  </si>
  <si>
    <t>(none)</t>
  </si>
  <si>
    <t>Coastline Community College</t>
  </si>
  <si>
    <t>Imperial Valley College</t>
  </si>
  <si>
    <t>West Coast University (4 CA campuses all in So Cal)</t>
  </si>
  <si>
    <t>CSU Dominguez Hills</t>
  </si>
  <si>
    <t>University of New Hampshire</t>
  </si>
  <si>
    <t>Cerritos College</t>
  </si>
  <si>
    <t>Mt. San Antonio College</t>
  </si>
  <si>
    <t>Santa Monica College</t>
  </si>
  <si>
    <t>Pasadena City College</t>
  </si>
  <si>
    <t>West Valley College</t>
  </si>
  <si>
    <t>University of New Orleans</t>
  </si>
  <si>
    <t>Merced College</t>
  </si>
  <si>
    <t>Millersville University of PA</t>
  </si>
  <si>
    <t>College of the Siskiyous</t>
  </si>
  <si>
    <t xml:space="preserve">San Jose City College </t>
  </si>
  <si>
    <t>College of the Desert</t>
  </si>
  <si>
    <t>Feather River College</t>
  </si>
  <si>
    <t>Folsom Lake College</t>
  </si>
  <si>
    <t>Merritt College</t>
  </si>
  <si>
    <t>Sacramento CIty College</t>
  </si>
  <si>
    <t>CSU Sacramento</t>
  </si>
  <si>
    <t>Hartnell College</t>
  </si>
  <si>
    <t>San Diego City College</t>
  </si>
  <si>
    <t>San Diego Miramar College</t>
  </si>
  <si>
    <t>Cal Poly - SLO</t>
  </si>
  <si>
    <t>Allan Hancock, Cuesta College</t>
  </si>
  <si>
    <t>Palomar College</t>
  </si>
  <si>
    <t>Georgia Perimeter College</t>
  </si>
  <si>
    <t>College of the Canyons</t>
  </si>
  <si>
    <t>Taft College</t>
  </si>
  <si>
    <t>Arizona State University</t>
  </si>
  <si>
    <t>Antelope Valley College</t>
  </si>
  <si>
    <t>Porterville College</t>
  </si>
  <si>
    <t>Woodland Community College</t>
  </si>
  <si>
    <t>Cerro Coso College</t>
  </si>
  <si>
    <t>Saddleback College</t>
  </si>
  <si>
    <t>Oxnard College</t>
  </si>
  <si>
    <t>Penn State University</t>
  </si>
  <si>
    <t>Reedley College</t>
  </si>
  <si>
    <t>CSU Chico</t>
  </si>
  <si>
    <t>Chaffey College</t>
  </si>
  <si>
    <t>CSU Long Beach</t>
  </si>
  <si>
    <t>University of Minnesota, Duluth</t>
  </si>
  <si>
    <t>Rio Hondo College</t>
  </si>
  <si>
    <t>CSU Sacramento Student</t>
  </si>
  <si>
    <t>Glendale College</t>
  </si>
  <si>
    <t>CSU Los Angeles</t>
  </si>
  <si>
    <t>UC Berkeley</t>
  </si>
  <si>
    <t>Cal Tech</t>
  </si>
  <si>
    <t>Irvine Valley College</t>
  </si>
  <si>
    <t>Harper College (IL)</t>
  </si>
  <si>
    <t>Riverside City College</t>
  </si>
  <si>
    <t>CCC Professional Learning Network (PLN) Redwood City</t>
  </si>
  <si>
    <t>Lake Tahoe C C student</t>
  </si>
  <si>
    <t>CSU Bakersfield</t>
  </si>
  <si>
    <t>Cuyamaca College</t>
  </si>
  <si>
    <t>Fullerton College</t>
  </si>
  <si>
    <t>Goldenwest College</t>
  </si>
  <si>
    <t>Middlesex CC (CT)</t>
  </si>
  <si>
    <t>Ohio State University</t>
  </si>
  <si>
    <t>Lassen College</t>
  </si>
  <si>
    <t>CSU San Marcos</t>
  </si>
  <si>
    <t>Central Washington University</t>
  </si>
  <si>
    <t>first_event</t>
  </si>
  <si>
    <t>most_recent_year</t>
  </si>
  <si>
    <r>
      <rPr>
        <sz val="9"/>
        <color theme="1"/>
        <rFont val="Aptos Narrow"/>
        <family val="2"/>
        <scheme val="minor"/>
      </rPr>
      <t>most_recent</t>
    </r>
    <r>
      <rPr>
        <sz val="10"/>
        <color theme="1"/>
        <rFont val="Aptos Narrow"/>
        <family val="2"/>
        <scheme val="minor"/>
      </rPr>
      <t>_college</t>
    </r>
  </si>
  <si>
    <t>multiple</t>
  </si>
  <si>
    <t>code</t>
  </si>
  <si>
    <t>nonCaCC</t>
  </si>
  <si>
    <t>College of Alameda, City College of San Francisco</t>
  </si>
  <si>
    <t>retired</t>
  </si>
  <si>
    <t>College of the SIskiyous</t>
  </si>
  <si>
    <t>Cabrillo College, Gavilan College</t>
  </si>
  <si>
    <t>Cal State U. Los Angeles,  Los Angeles Valley College</t>
  </si>
  <si>
    <t>California Luteran University</t>
  </si>
  <si>
    <t>Cerritos College, U. Colorado Denver</t>
  </si>
  <si>
    <t>Chandler-Gilbert CC (AZ)</t>
  </si>
  <si>
    <t>Cal State U. East Bay</t>
  </si>
  <si>
    <t>Clackamas CC (OR)</t>
  </si>
  <si>
    <t>College of DuPage (IL)</t>
  </si>
  <si>
    <t>Cornell University (NY)</t>
  </si>
  <si>
    <t>College of San Mateo, West Valley College</t>
  </si>
  <si>
    <t>Fullerton College, CSU Fullerton</t>
  </si>
  <si>
    <t>Los Angeles Pierce College, CSU Northridge</t>
  </si>
  <si>
    <t>student</t>
  </si>
  <si>
    <t>Cy-Fair College (TX)</t>
  </si>
  <si>
    <t>Daytona State College (OH)</t>
  </si>
  <si>
    <t>DeVry University Fremont (CA)</t>
  </si>
  <si>
    <t>Diablo Valley C., Las Positas C., San Joaquin Delta C.</t>
  </si>
  <si>
    <t>Drexel University (PA)</t>
  </si>
  <si>
    <t>Harrisburg Area CC (PA)</t>
  </si>
  <si>
    <t>Harford CC (MD)</t>
  </si>
  <si>
    <t>Highline College (WA)</t>
  </si>
  <si>
    <t>Horizon Christian Academy (GA)</t>
  </si>
  <si>
    <t>Horizon Christian HS (OR)</t>
  </si>
  <si>
    <t>Hunter College  (NY)</t>
  </si>
  <si>
    <t>Indiana University–Purdue University Indianapolis</t>
  </si>
  <si>
    <t>Joliet Junior College (IL)</t>
  </si>
  <si>
    <t>Kean University (NJ)</t>
  </si>
  <si>
    <t>KRH Engineering in Napa (CA)</t>
  </si>
  <si>
    <t>Laguna Blanca School in Santa Barbara (CA)</t>
  </si>
  <si>
    <t>Lane C C (OR)</t>
  </si>
  <si>
    <t>Livermore Labs (CA)</t>
  </si>
  <si>
    <t>Lizard Publishing in Irvine (CA)</t>
  </si>
  <si>
    <t>Loyola University (IL)</t>
  </si>
  <si>
    <t>Macon State College (GA)</t>
  </si>
  <si>
    <t>Marymount College (Marymount U. in RPV CA)</t>
  </si>
  <si>
    <t>McMaster University in Ontario Canada</t>
  </si>
  <si>
    <t>MDTP in Santa Ana (CA)</t>
  </si>
  <si>
    <t>Marin Academy (CA)</t>
  </si>
  <si>
    <t>Menlo College (CA)</t>
  </si>
  <si>
    <t>Miami University in Hamilton (OH)</t>
  </si>
  <si>
    <t>Monterey Institute for Tech and Education (CA)</t>
  </si>
  <si>
    <t>Monterey Peninsula College, CSU Monterey Bay</t>
  </si>
  <si>
    <t>Muhlenberg College (PA)</t>
  </si>
  <si>
    <t>North Central Michigan College</t>
  </si>
  <si>
    <t>Nassau CC (NY)</t>
  </si>
  <si>
    <t>New Tech High in Napa (CA)</t>
  </si>
  <si>
    <t>Normandale CC in Bloomington (MN)</t>
  </si>
  <si>
    <t>North Shore CC (MA)</t>
  </si>
  <si>
    <t>Ohlone College, Evergreen Valley College</t>
  </si>
  <si>
    <t>Ohlone College, Fremont College</t>
  </si>
  <si>
    <t>Orange County Probation (CA)</t>
  </si>
  <si>
    <t>Origami Logic, inc. in Los Altos (CA)</t>
  </si>
  <si>
    <t>Perris Union HS near Riverside (CA)</t>
  </si>
  <si>
    <t>Pima Community College (AZ)</t>
  </si>
  <si>
    <t>Portland Community College (OR)</t>
  </si>
  <si>
    <t>Private Tutor in Bonita (CA)</t>
  </si>
  <si>
    <t>Quinsigamond CC (MA)</t>
  </si>
  <si>
    <t>Roanoke College (VA)</t>
  </si>
  <si>
    <t>Rochester Community and Technical College (MN)</t>
  </si>
  <si>
    <t>Rock Valley College (IL)</t>
  </si>
  <si>
    <t>Sacramento City College, Solano College</t>
  </si>
  <si>
    <t>Sacramento Unified Schools (CA)</t>
  </si>
  <si>
    <t>San Joaquin Delta College, De Anza College</t>
  </si>
  <si>
    <t>Santa Rosa Junior College, College of Marin</t>
  </si>
  <si>
    <t>Santa Rosa Junior College, Napa Valley College</t>
  </si>
  <si>
    <t>Santa Rosa Junior College, Sonoma State Univ.</t>
  </si>
  <si>
    <t>Scottsdale Community College (AZ)</t>
  </si>
  <si>
    <t>Seminole CC (FL)</t>
  </si>
  <si>
    <t>Shoreline CC (WA)</t>
  </si>
  <si>
    <t>Sierra College, American River College</t>
  </si>
  <si>
    <t>Sierra Nevada College (CA)</t>
  </si>
  <si>
    <t>Skyline College, Alameda College</t>
  </si>
  <si>
    <t>South Lake Tahoe Unified Schools (CA)</t>
  </si>
  <si>
    <t>St Olaf College (MN)</t>
  </si>
  <si>
    <t>St. Louis Community College (MO)</t>
  </si>
  <si>
    <t>St. Mary's College in Moraga (CA)</t>
  </si>
  <si>
    <t>Stanford University (CA)</t>
  </si>
  <si>
    <t>the human calculator (AZ)</t>
  </si>
  <si>
    <t>Truckee Meadows CC (NV)</t>
  </si>
  <si>
    <t>Two Ravens Editorial Services in Burlingame (CA)</t>
  </si>
  <si>
    <t>UC Los Angeles</t>
  </si>
  <si>
    <t>UC Los Angeles stats dept.</t>
  </si>
  <si>
    <t>University of Nevada Reno</t>
  </si>
  <si>
    <t>University of Massachusetts Amherst</t>
  </si>
  <si>
    <t>University of Nevada Las Vegas</t>
  </si>
  <si>
    <t>University of Arizona</t>
  </si>
  <si>
    <t>University of Chicago (IL)</t>
  </si>
  <si>
    <t>University of Illinois</t>
  </si>
  <si>
    <t>University of San Francisco (CA)</t>
  </si>
  <si>
    <t>University of the Pacific (CA)</t>
  </si>
  <si>
    <t>Walla Walla Community College (WA)</t>
  </si>
  <si>
    <t>San Francisco State University, West Ed</t>
  </si>
  <si>
    <t>West Valley College, Foothill College</t>
  </si>
  <si>
    <t>XYZ Textbooks in SLO (CA)</t>
  </si>
  <si>
    <t>Yuba College, Sierra College</t>
  </si>
  <si>
    <t>American River College, Woodland College</t>
  </si>
  <si>
    <t>Las Positas College, Chabot College</t>
  </si>
  <si>
    <t>Las Positas College, Ohlone College</t>
  </si>
  <si>
    <t>3C Media Solutions at Palomar (CA)</t>
  </si>
  <si>
    <t>Academy of Art College in San Francisco (CA)</t>
  </si>
  <si>
    <t>Ajo Copper News (AZ)</t>
  </si>
  <si>
    <t>AMATYC in Owesnboro (KY)</t>
  </si>
  <si>
    <t>American Institute of Mathematics (moved from Palo Alto to Pasadena)</t>
  </si>
  <si>
    <t>ASCCC in Los Altos Hills (CA)</t>
  </si>
  <si>
    <t>Bay Area Math Project, CMC in Clayton (CA)</t>
  </si>
  <si>
    <t>Bunker Hill CC (MA)</t>
  </si>
  <si>
    <t>California Teacher Advisory Council in Clovis (CA)</t>
  </si>
  <si>
    <t>Carnegie Math Pathways in Redwood City (CA)</t>
  </si>
  <si>
    <t>Casino Gaming Industry (https://gaffneytj.com/)</t>
  </si>
  <si>
    <t>CCC Technology Center in Chico (CA)</t>
  </si>
  <si>
    <t>Cengage Learning in Eudora (KS)</t>
  </si>
  <si>
    <t>Desmos inc. in Oakland (CA)</t>
  </si>
  <si>
    <t>Dutchess C.C. (NY)</t>
  </si>
  <si>
    <t>eInstruction in Watsonville (CA)</t>
  </si>
  <si>
    <t>Euler Circle in San Jose (CA)</t>
  </si>
  <si>
    <t>Eurgubian Academic Center in Fresno (CA)</t>
  </si>
  <si>
    <t>Golden Gate University in San Francisco (CA)</t>
  </si>
  <si>
    <t>Harvey Mudd College (CA)</t>
  </si>
  <si>
    <t>Irvine Unified Schools (CA)</t>
  </si>
  <si>
    <t>JFK High School in Sacramento (CA)</t>
  </si>
  <si>
    <t>Kansas State University Salina</t>
  </si>
  <si>
    <t>KM2A after school martial arts in Sunnyvale (CA)</t>
  </si>
  <si>
    <t>Lang Origami (moved from Alamo to Altadena CA)</t>
  </si>
  <si>
    <t>NCTM, CMC, San Francisco USD (CA)</t>
  </si>
  <si>
    <t>Pitzer College (CA)</t>
  </si>
  <si>
    <t>Pomona College (CA)</t>
  </si>
  <si>
    <t>San Francisco State University (CA)</t>
  </si>
  <si>
    <t>Santa Clara University (CA)</t>
  </si>
  <si>
    <t>Sonoma State University (CA)</t>
  </si>
  <si>
    <t>Southeastern Louisiana University</t>
  </si>
  <si>
    <t>Texas A and M University</t>
  </si>
  <si>
    <t>Western Nevada College (NV)</t>
  </si>
  <si>
    <t>Yale University (CT)</t>
  </si>
  <si>
    <t>Sacramento City College student</t>
  </si>
  <si>
    <t>San Jose State University student</t>
  </si>
  <si>
    <t>Santa Rosa Junior College student</t>
  </si>
  <si>
    <t>Solano Community College student</t>
  </si>
  <si>
    <t>skip</t>
  </si>
  <si>
    <t>Clovis Community College</t>
  </si>
  <si>
    <t>=ISNUMBER(MATCH(A2, '[potential by college 2019 Feb.xlsx]Sheet1'!$B$2:$B$115,0))</t>
  </si>
  <si>
    <t>West Hills College Coalinga</t>
  </si>
  <si>
    <t>total_attendance_all_years</t>
  </si>
  <si>
    <t>potential_in_2018</t>
  </si>
  <si>
    <t>potential_in_1972</t>
  </si>
  <si>
    <t>per 47 years</t>
  </si>
  <si>
    <t>proportion_of_filled_potential</t>
  </si>
  <si>
    <t>potential___total</t>
  </si>
  <si>
    <t xml:space="preserve">assumed linear decrease from 2018 to 1972 = </t>
  </si>
  <si>
    <t>miles_to_dirive</t>
  </si>
  <si>
    <t>San Bernardino Valley College</t>
  </si>
  <si>
    <t>students or non-CA CC faculty</t>
  </si>
  <si>
    <t>retirees</t>
  </si>
  <si>
    <t>attendees from unknown locations</t>
  </si>
  <si>
    <t>total</t>
  </si>
  <si>
    <r>
      <t xml:space="preserve">number of people </t>
    </r>
    <r>
      <rPr>
        <i/>
        <sz val="10"/>
        <color theme="1"/>
        <rFont val="Aptos Narrow"/>
        <family val="2"/>
        <scheme val="minor"/>
      </rPr>
      <t>not</t>
    </r>
    <r>
      <rPr>
        <sz val="10"/>
        <color theme="1"/>
        <rFont val="Aptos Narrow"/>
        <family val="2"/>
        <scheme val="minor"/>
      </rPr>
      <t xml:space="preserve"> included in the above data:</t>
    </r>
  </si>
  <si>
    <t>faculty at multiple locations</t>
  </si>
  <si>
    <t>grand total attendance</t>
  </si>
  <si>
    <t>grand total attendance, from 1265 people</t>
  </si>
  <si>
    <t xml:space="preserve">events per person avg.  =  </t>
  </si>
  <si>
    <t>zero attendance as of 2018 from:</t>
  </si>
  <si>
    <t>Barstow College</t>
  </si>
  <si>
    <t>Moorpark College</t>
  </si>
  <si>
    <t>Southwestern College</t>
  </si>
  <si>
    <t>Mt. San Jacincto College</t>
  </si>
  <si>
    <t>Los Angeles Southwest College</t>
  </si>
  <si>
    <t>Los Angeles Trade Tech College</t>
  </si>
  <si>
    <t>Los Angeles Mission College</t>
  </si>
  <si>
    <t>Los Angeles Harbor College</t>
  </si>
  <si>
    <t>Los Angeles City College</t>
  </si>
  <si>
    <t>Long Beach City College</t>
  </si>
  <si>
    <t>Cypress College</t>
  </si>
  <si>
    <t>Copper Mountain College</t>
  </si>
  <si>
    <t>Crafton Hills College</t>
  </si>
  <si>
    <t>Compton College</t>
  </si>
  <si>
    <t>West Hills College Lemoore</t>
  </si>
  <si>
    <t>Moreno Valley College</t>
  </si>
  <si>
    <t>Palo Verde College</t>
  </si>
  <si>
    <t>potential_from_2018</t>
  </si>
  <si>
    <r>
      <t xml:space="preserve">total attendance </t>
    </r>
    <r>
      <rPr>
        <i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included above</t>
    </r>
  </si>
  <si>
    <t>CA_CC</t>
  </si>
  <si>
    <t xml:space="preserve">  97 + 17  =  114 community colleges in CA total</t>
  </si>
  <si>
    <t>source  =  attendance_db . 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</si>
</sst>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2" fillId="0" borderId="0" xfId="0" applyNumberFormat="1" applyFont="1"/>
    <xf numFmtId="49" fontId="2" fillId="0" borderId="0" xfId="1" applyNumberFormat="1" applyAlignment="1">
      <alignment vertical="top"/>
    </xf>
    <xf numFmtId="49" fontId="2" fillId="0" borderId="0" xfId="1" applyNumberFormat="1" applyAlignment="1">
      <alignment horizontal="left"/>
    </xf>
    <xf numFmtId="49" fontId="2" fillId="0" borderId="0" xfId="1" applyNumberFormat="1"/>
    <xf numFmtId="49" fontId="2" fillId="0" borderId="0" xfId="0" applyNumberFormat="1" applyFont="1" applyAlignment="1">
      <alignment horizontal="left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left"/>
    </xf>
    <xf numFmtId="2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0" fillId="0" borderId="0" xfId="0" applyBorder="1"/>
  </cellXfs>
  <cellStyles count="2">
    <cellStyle name="Normal" xfId="0" builtinId="0"/>
    <cellStyle name="Normal 2" xfId="1" xr:uid="{D9D92558-5DDF-4AB3-92F2-908EC1B262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effort v. distance by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17246829261364"/>
          <c:y val="0.16369182818493841"/>
          <c:w val="0.7850640540703725"/>
          <c:h val="0.5873428982434888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603216377384491"/>
                  <c:y val="-0.1868119700181707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aseline="0"/>
                      <a:t>y = -0.0003x + 0.109</a:t>
                    </a:r>
                    <a:br>
                      <a:rPr lang="en-US" sz="2000" baseline="0"/>
                    </a:br>
                    <a:r>
                      <a:rPr lang="en-US" sz="2000" baseline="0"/>
                      <a:t>R² = 0.2948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stats!$G$4:$G$100</c:f>
              <c:numCache>
                <c:formatCode>General</c:formatCode>
                <c:ptCount val="97"/>
                <c:pt idx="0">
                  <c:v>171</c:v>
                </c:pt>
                <c:pt idx="1">
                  <c:v>142</c:v>
                </c:pt>
                <c:pt idx="2">
                  <c:v>180</c:v>
                </c:pt>
                <c:pt idx="3">
                  <c:v>287</c:v>
                </c:pt>
                <c:pt idx="4">
                  <c:v>79</c:v>
                </c:pt>
                <c:pt idx="5">
                  <c:v>65</c:v>
                </c:pt>
                <c:pt idx="6">
                  <c:v>97</c:v>
                </c:pt>
                <c:pt idx="7">
                  <c:v>71</c:v>
                </c:pt>
                <c:pt idx="8">
                  <c:v>128</c:v>
                </c:pt>
                <c:pt idx="9">
                  <c:v>70</c:v>
                </c:pt>
                <c:pt idx="10">
                  <c:v>77</c:v>
                </c:pt>
                <c:pt idx="11">
                  <c:v>189</c:v>
                </c:pt>
                <c:pt idx="12">
                  <c:v>223</c:v>
                </c:pt>
                <c:pt idx="13">
                  <c:v>199</c:v>
                </c:pt>
                <c:pt idx="14">
                  <c:v>74</c:v>
                </c:pt>
                <c:pt idx="15">
                  <c:v>118</c:v>
                </c:pt>
                <c:pt idx="16">
                  <c:v>40</c:v>
                </c:pt>
                <c:pt idx="17">
                  <c:v>102</c:v>
                </c:pt>
                <c:pt idx="18">
                  <c:v>221</c:v>
                </c:pt>
                <c:pt idx="19">
                  <c:v>112</c:v>
                </c:pt>
                <c:pt idx="20">
                  <c:v>196</c:v>
                </c:pt>
                <c:pt idx="21">
                  <c:v>95</c:v>
                </c:pt>
                <c:pt idx="22">
                  <c:v>151</c:v>
                </c:pt>
                <c:pt idx="23">
                  <c:v>122</c:v>
                </c:pt>
                <c:pt idx="24">
                  <c:v>392</c:v>
                </c:pt>
                <c:pt idx="25">
                  <c:v>110</c:v>
                </c:pt>
                <c:pt idx="26">
                  <c:v>0.5</c:v>
                </c:pt>
                <c:pt idx="27">
                  <c:v>112</c:v>
                </c:pt>
                <c:pt idx="28">
                  <c:v>135</c:v>
                </c:pt>
                <c:pt idx="29">
                  <c:v>145</c:v>
                </c:pt>
                <c:pt idx="30">
                  <c:v>125</c:v>
                </c:pt>
                <c:pt idx="31">
                  <c:v>84</c:v>
                </c:pt>
                <c:pt idx="32">
                  <c:v>181</c:v>
                </c:pt>
                <c:pt idx="33">
                  <c:v>236</c:v>
                </c:pt>
                <c:pt idx="34">
                  <c:v>181</c:v>
                </c:pt>
                <c:pt idx="35">
                  <c:v>86</c:v>
                </c:pt>
                <c:pt idx="36">
                  <c:v>42</c:v>
                </c:pt>
                <c:pt idx="37">
                  <c:v>18</c:v>
                </c:pt>
                <c:pt idx="38">
                  <c:v>133</c:v>
                </c:pt>
                <c:pt idx="39">
                  <c:v>120</c:v>
                </c:pt>
                <c:pt idx="40">
                  <c:v>104</c:v>
                </c:pt>
                <c:pt idx="41">
                  <c:v>307</c:v>
                </c:pt>
                <c:pt idx="42">
                  <c:v>152</c:v>
                </c:pt>
                <c:pt idx="43">
                  <c:v>232</c:v>
                </c:pt>
                <c:pt idx="44">
                  <c:v>285</c:v>
                </c:pt>
                <c:pt idx="45">
                  <c:v>349</c:v>
                </c:pt>
                <c:pt idx="46">
                  <c:v>378</c:v>
                </c:pt>
                <c:pt idx="47">
                  <c:v>208</c:v>
                </c:pt>
                <c:pt idx="48">
                  <c:v>262</c:v>
                </c:pt>
                <c:pt idx="49">
                  <c:v>112</c:v>
                </c:pt>
                <c:pt idx="50">
                  <c:v>321</c:v>
                </c:pt>
                <c:pt idx="51">
                  <c:v>437</c:v>
                </c:pt>
                <c:pt idx="52">
                  <c:v>116</c:v>
                </c:pt>
                <c:pt idx="53">
                  <c:v>174</c:v>
                </c:pt>
                <c:pt idx="54">
                  <c:v>210</c:v>
                </c:pt>
                <c:pt idx="55">
                  <c:v>205</c:v>
                </c:pt>
                <c:pt idx="56">
                  <c:v>317</c:v>
                </c:pt>
                <c:pt idx="57">
                  <c:v>359</c:v>
                </c:pt>
                <c:pt idx="58">
                  <c:v>414</c:v>
                </c:pt>
                <c:pt idx="59">
                  <c:v>439</c:v>
                </c:pt>
                <c:pt idx="60">
                  <c:v>438</c:v>
                </c:pt>
                <c:pt idx="61">
                  <c:v>421</c:v>
                </c:pt>
                <c:pt idx="62">
                  <c:v>359</c:v>
                </c:pt>
                <c:pt idx="63">
                  <c:v>335</c:v>
                </c:pt>
                <c:pt idx="64">
                  <c:v>324</c:v>
                </c:pt>
                <c:pt idx="65">
                  <c:v>384</c:v>
                </c:pt>
                <c:pt idx="66">
                  <c:v>326</c:v>
                </c:pt>
                <c:pt idx="67">
                  <c:v>227</c:v>
                </c:pt>
                <c:pt idx="68">
                  <c:v>355</c:v>
                </c:pt>
                <c:pt idx="69">
                  <c:v>368</c:v>
                </c:pt>
                <c:pt idx="70">
                  <c:v>176</c:v>
                </c:pt>
                <c:pt idx="71">
                  <c:v>346</c:v>
                </c:pt>
                <c:pt idx="72">
                  <c:v>298</c:v>
                </c:pt>
                <c:pt idx="73">
                  <c:v>354</c:v>
                </c:pt>
                <c:pt idx="74">
                  <c:v>352</c:v>
                </c:pt>
                <c:pt idx="75">
                  <c:v>373</c:v>
                </c:pt>
                <c:pt idx="76">
                  <c:v>122</c:v>
                </c:pt>
                <c:pt idx="77">
                  <c:v>121</c:v>
                </c:pt>
                <c:pt idx="78">
                  <c:v>336</c:v>
                </c:pt>
                <c:pt idx="79">
                  <c:v>157</c:v>
                </c:pt>
                <c:pt idx="80">
                  <c:v>345</c:v>
                </c:pt>
                <c:pt idx="81">
                  <c:v>267</c:v>
                </c:pt>
                <c:pt idx="82">
                  <c:v>445</c:v>
                </c:pt>
                <c:pt idx="83">
                  <c:v>449</c:v>
                </c:pt>
                <c:pt idx="84">
                  <c:v>316</c:v>
                </c:pt>
                <c:pt idx="85">
                  <c:v>318</c:v>
                </c:pt>
                <c:pt idx="86">
                  <c:v>275</c:v>
                </c:pt>
                <c:pt idx="87">
                  <c:v>359</c:v>
                </c:pt>
                <c:pt idx="88">
                  <c:v>333</c:v>
                </c:pt>
                <c:pt idx="89">
                  <c:v>310</c:v>
                </c:pt>
                <c:pt idx="90">
                  <c:v>529</c:v>
                </c:pt>
                <c:pt idx="91">
                  <c:v>373</c:v>
                </c:pt>
                <c:pt idx="92">
                  <c:v>320</c:v>
                </c:pt>
                <c:pt idx="93">
                  <c:v>354</c:v>
                </c:pt>
                <c:pt idx="94">
                  <c:v>464</c:v>
                </c:pt>
                <c:pt idx="95">
                  <c:v>370</c:v>
                </c:pt>
                <c:pt idx="96">
                  <c:v>330</c:v>
                </c:pt>
              </c:numCache>
            </c:numRef>
          </c:xVal>
          <c:yVal>
            <c:numRef>
              <c:f>stats!$F$4:$F$100</c:f>
              <c:numCache>
                <c:formatCode>0.0000</c:formatCode>
                <c:ptCount val="97"/>
                <c:pt idx="0">
                  <c:v>0.28853267570900121</c:v>
                </c:pt>
                <c:pt idx="1">
                  <c:v>0.2302357836338419</c:v>
                </c:pt>
                <c:pt idx="2">
                  <c:v>0.21666666666666667</c:v>
                </c:pt>
                <c:pt idx="3">
                  <c:v>0.18888888888888888</c:v>
                </c:pt>
                <c:pt idx="4">
                  <c:v>0.17980022197558268</c:v>
                </c:pt>
                <c:pt idx="5">
                  <c:v>0.17314095449500555</c:v>
                </c:pt>
                <c:pt idx="6">
                  <c:v>0.15649278579356271</c:v>
                </c:pt>
                <c:pt idx="7">
                  <c:v>0.15078630897317299</c:v>
                </c:pt>
                <c:pt idx="8">
                  <c:v>0.14872364039955605</c:v>
                </c:pt>
                <c:pt idx="9">
                  <c:v>0.12205270457697642</c:v>
                </c:pt>
                <c:pt idx="10">
                  <c:v>0.11789181692094314</c:v>
                </c:pt>
                <c:pt idx="11">
                  <c:v>0.11709211986681466</c:v>
                </c:pt>
                <c:pt idx="12">
                  <c:v>0.11431742508324085</c:v>
                </c:pt>
                <c:pt idx="13">
                  <c:v>0.11320754716981132</c:v>
                </c:pt>
                <c:pt idx="14">
                  <c:v>0.10876803551609324</c:v>
                </c:pt>
                <c:pt idx="15">
                  <c:v>0.10730804810360776</c:v>
                </c:pt>
                <c:pt idx="16">
                  <c:v>9.6748612212529742E-2</c:v>
                </c:pt>
                <c:pt idx="17">
                  <c:v>9.3684941013185294E-2</c:v>
                </c:pt>
                <c:pt idx="18">
                  <c:v>8.5460599334073253E-2</c:v>
                </c:pt>
                <c:pt idx="19">
                  <c:v>8.4463625154130709E-2</c:v>
                </c:pt>
                <c:pt idx="20">
                  <c:v>8.0726538849646826E-2</c:v>
                </c:pt>
                <c:pt idx="21">
                  <c:v>8.0481036077705834E-2</c:v>
                </c:pt>
                <c:pt idx="22">
                  <c:v>7.6282940360610257E-2</c:v>
                </c:pt>
                <c:pt idx="23">
                  <c:v>7.3158425832492435E-2</c:v>
                </c:pt>
                <c:pt idx="24">
                  <c:v>7.2222222222222215E-2</c:v>
                </c:pt>
                <c:pt idx="25">
                  <c:v>7.2122052704576972E-2</c:v>
                </c:pt>
                <c:pt idx="26">
                  <c:v>6.9922308546059936E-2</c:v>
                </c:pt>
                <c:pt idx="27">
                  <c:v>6.6666666666666666E-2</c:v>
                </c:pt>
                <c:pt idx="28">
                  <c:v>6.6574202496532592E-2</c:v>
                </c:pt>
                <c:pt idx="29">
                  <c:v>6.3263041065482792E-2</c:v>
                </c:pt>
                <c:pt idx="30">
                  <c:v>6.2153163152053277E-2</c:v>
                </c:pt>
                <c:pt idx="31">
                  <c:v>6.1855670103092786E-2</c:v>
                </c:pt>
                <c:pt idx="32">
                  <c:v>5.8683584456780333E-2</c:v>
                </c:pt>
                <c:pt idx="33">
                  <c:v>4.8374306106264871E-2</c:v>
                </c:pt>
                <c:pt idx="34">
                  <c:v>4.7222222222222221E-2</c:v>
                </c:pt>
                <c:pt idx="35">
                  <c:v>4.6210720887245843E-2</c:v>
                </c:pt>
                <c:pt idx="36">
                  <c:v>4.2995839112343968E-2</c:v>
                </c:pt>
                <c:pt idx="37">
                  <c:v>4.0221914008321778E-2</c:v>
                </c:pt>
                <c:pt idx="38">
                  <c:v>3.7927844588344126E-2</c:v>
                </c:pt>
                <c:pt idx="39">
                  <c:v>3.3333333333333333E-2</c:v>
                </c:pt>
                <c:pt idx="40">
                  <c:v>2.8856825749167592E-2</c:v>
                </c:pt>
                <c:pt idx="41">
                  <c:v>2.7192008879023309E-2</c:v>
                </c:pt>
                <c:pt idx="42">
                  <c:v>2.7064538514920196E-2</c:v>
                </c:pt>
                <c:pt idx="43">
                  <c:v>2.6352288488210817E-2</c:v>
                </c:pt>
                <c:pt idx="44">
                  <c:v>2.6352288488210817E-2</c:v>
                </c:pt>
                <c:pt idx="45">
                  <c:v>2.3307436182019976E-2</c:v>
                </c:pt>
                <c:pt idx="46">
                  <c:v>2.2191400832177532E-2</c:v>
                </c:pt>
                <c:pt idx="47">
                  <c:v>2.1276595744680851E-2</c:v>
                </c:pt>
                <c:pt idx="48">
                  <c:v>1.9825535289452814E-2</c:v>
                </c:pt>
                <c:pt idx="49">
                  <c:v>1.9444444444444445E-2</c:v>
                </c:pt>
                <c:pt idx="50">
                  <c:v>1.8501387604070305E-2</c:v>
                </c:pt>
                <c:pt idx="51">
                  <c:v>1.6648168701442843E-2</c:v>
                </c:pt>
                <c:pt idx="52">
                  <c:v>1.5256588072122053E-2</c:v>
                </c:pt>
                <c:pt idx="53">
                  <c:v>1.4801110083256245E-2</c:v>
                </c:pt>
                <c:pt idx="54">
                  <c:v>1.4787430683918669E-2</c:v>
                </c:pt>
                <c:pt idx="55">
                  <c:v>1.3888888888888888E-2</c:v>
                </c:pt>
                <c:pt idx="56">
                  <c:v>1.3318534961154272E-2</c:v>
                </c:pt>
                <c:pt idx="57">
                  <c:v>1.2482662968099861E-2</c:v>
                </c:pt>
                <c:pt idx="58">
                  <c:v>1.1604439959636731E-2</c:v>
                </c:pt>
                <c:pt idx="59">
                  <c:v>1.1098779134295227E-2</c:v>
                </c:pt>
                <c:pt idx="60">
                  <c:v>1.1098779134295227E-2</c:v>
                </c:pt>
                <c:pt idx="61">
                  <c:v>7.1371927042030133E-3</c:v>
                </c:pt>
                <c:pt idx="62">
                  <c:v>6.6592674805771362E-3</c:v>
                </c:pt>
                <c:pt idx="63">
                  <c:v>6.012950971322849E-3</c:v>
                </c:pt>
                <c:pt idx="64">
                  <c:v>5.8966354491848767E-3</c:v>
                </c:pt>
                <c:pt idx="65">
                  <c:v>5.5555555555555558E-3</c:v>
                </c:pt>
                <c:pt idx="66">
                  <c:v>5.5555555555555558E-3</c:v>
                </c:pt>
                <c:pt idx="67">
                  <c:v>5.5555555555555558E-3</c:v>
                </c:pt>
                <c:pt idx="68">
                  <c:v>5.5493895671476137E-3</c:v>
                </c:pt>
                <c:pt idx="69">
                  <c:v>5.5452865064695009E-3</c:v>
                </c:pt>
                <c:pt idx="70">
                  <c:v>5.5452865064695009E-3</c:v>
                </c:pt>
                <c:pt idx="71">
                  <c:v>5.1238257899231428E-3</c:v>
                </c:pt>
                <c:pt idx="72">
                  <c:v>4.7581284694686752E-3</c:v>
                </c:pt>
                <c:pt idx="73">
                  <c:v>4.4395116537180911E-3</c:v>
                </c:pt>
                <c:pt idx="74">
                  <c:v>4.160887656033287E-3</c:v>
                </c:pt>
                <c:pt idx="75">
                  <c:v>4.160887656033287E-3</c:v>
                </c:pt>
                <c:pt idx="76">
                  <c:v>3.7002775208140612E-3</c:v>
                </c:pt>
                <c:pt idx="77">
                  <c:v>3.1720856463124504E-3</c:v>
                </c:pt>
                <c:pt idx="78">
                  <c:v>2.7777777777777779E-3</c:v>
                </c:pt>
                <c:pt idx="79">
                  <c:v>2.7777777777777779E-3</c:v>
                </c:pt>
                <c:pt idx="80">
                  <c:v>2.7755749405233942E-3</c:v>
                </c:pt>
                <c:pt idx="81">
                  <c:v>2.7752081406105457E-3</c:v>
                </c:pt>
                <c:pt idx="82">
                  <c:v>2.7739251040221915E-3</c:v>
                </c:pt>
                <c:pt idx="83">
                  <c:v>2.3126734505087882E-3</c:v>
                </c:pt>
                <c:pt idx="84">
                  <c:v>2.134927412467976E-3</c:v>
                </c:pt>
                <c:pt idx="85">
                  <c:v>2.0181634712411706E-3</c:v>
                </c:pt>
                <c:pt idx="86">
                  <c:v>1.8484288354898336E-3</c:v>
                </c:pt>
                <c:pt idx="87">
                  <c:v>1.5860428231562252E-3</c:v>
                </c:pt>
                <c:pt idx="88">
                  <c:v>1.5860428231562252E-3</c:v>
                </c:pt>
                <c:pt idx="89">
                  <c:v>1.4798372179060304E-3</c:v>
                </c:pt>
                <c:pt idx="90">
                  <c:v>1.3869625520110957E-3</c:v>
                </c:pt>
                <c:pt idx="91">
                  <c:v>9.2506938020351531E-4</c:v>
                </c:pt>
                <c:pt idx="92">
                  <c:v>9.2506938020351531E-4</c:v>
                </c:pt>
                <c:pt idx="93">
                  <c:v>7.9302141157811261E-4</c:v>
                </c:pt>
                <c:pt idx="94">
                  <c:v>7.9302141157811261E-4</c:v>
                </c:pt>
                <c:pt idx="95">
                  <c:v>6.939625260235947E-4</c:v>
                </c:pt>
                <c:pt idx="96">
                  <c:v>2.6427061310782242E-4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F9-4104-A95B-B591E3A2A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711824"/>
        <c:axId val="1179627472"/>
      </c:scatterChart>
      <c:valAx>
        <c:axId val="1304711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miles to drive each way</a:t>
                </a:r>
              </a:p>
            </c:rich>
          </c:tx>
          <c:layout>
            <c:manualLayout>
              <c:xMode val="edge"/>
              <c:yMode val="edge"/>
              <c:x val="0.29726968503937007"/>
              <c:y val="0.856064814814814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627472"/>
        <c:crosses val="autoZero"/>
        <c:crossBetween val="midCat"/>
      </c:valAx>
      <c:valAx>
        <c:axId val="1179627472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attended</a:t>
                </a:r>
                <a:r>
                  <a:rPr lang="en-US" sz="1100" baseline="0"/>
                  <a:t> proportion of the potential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1.8735317659760616E-2"/>
              <c:y val="0.109034928326266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1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30480</xdr:rowOff>
    </xdr:from>
    <xdr:to>
      <xdr:col>9</xdr:col>
      <xdr:colOff>175260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967035-2826-4B3E-BDD4-69F2E6983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k\Desktop\mh%20stuff\amazing%20mh%20research\attendance%20cmc3%20data\potential%20by%20college%202019%20Feb.xlsx" TargetMode="External"/><Relationship Id="rId1" Type="http://schemas.openxmlformats.org/officeDocument/2006/relationships/externalLinkPath" Target="attendance%20cmc3%20data/potential%20by%20college%202019%20F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Cañada College</v>
          </cell>
          <cell r="F2">
            <v>19</v>
          </cell>
        </row>
        <row r="3">
          <cell r="B3" t="str">
            <v>Columbia College</v>
          </cell>
          <cell r="F3">
            <v>9</v>
          </cell>
        </row>
        <row r="4">
          <cell r="B4" t="str">
            <v>West Hills College Lemoore</v>
          </cell>
          <cell r="F4">
            <v>12</v>
          </cell>
        </row>
        <row r="5">
          <cell r="B5" t="str">
            <v>Mission College</v>
          </cell>
          <cell r="F5">
            <v>35</v>
          </cell>
        </row>
        <row r="6">
          <cell r="B6" t="str">
            <v>Diablo Valley College</v>
          </cell>
          <cell r="F6">
            <v>73</v>
          </cell>
        </row>
        <row r="7">
          <cell r="B7" t="str">
            <v>Allan Hancock College</v>
          </cell>
          <cell r="F7">
            <v>42</v>
          </cell>
        </row>
        <row r="8">
          <cell r="B8" t="str">
            <v>American River College</v>
          </cell>
          <cell r="F8">
            <v>76</v>
          </cell>
        </row>
        <row r="9">
          <cell r="B9" t="str">
            <v>Bakersfield College</v>
          </cell>
          <cell r="F9">
            <v>35</v>
          </cell>
        </row>
        <row r="10">
          <cell r="B10" t="str">
            <v>Berkeley City College</v>
          </cell>
          <cell r="F10">
            <v>25</v>
          </cell>
        </row>
        <row r="11">
          <cell r="B11" t="str">
            <v>Butte College</v>
          </cell>
          <cell r="F11">
            <v>44</v>
          </cell>
        </row>
        <row r="12">
          <cell r="B12" t="str">
            <v>Cabrillo College</v>
          </cell>
          <cell r="F12">
            <v>48</v>
          </cell>
        </row>
        <row r="13">
          <cell r="B13" t="str">
            <v>Chabot College</v>
          </cell>
          <cell r="F13">
            <v>36</v>
          </cell>
        </row>
        <row r="14">
          <cell r="B14" t="str">
            <v>City College of San Francisco</v>
          </cell>
          <cell r="F14">
            <v>63</v>
          </cell>
        </row>
        <row r="15">
          <cell r="B15" t="str">
            <v>Clovis Community College</v>
          </cell>
          <cell r="F15">
            <v>11</v>
          </cell>
        </row>
        <row r="16">
          <cell r="B16" t="str">
            <v>College of Alameda</v>
          </cell>
          <cell r="F16">
            <v>16</v>
          </cell>
        </row>
        <row r="17">
          <cell r="B17" t="str">
            <v>College of Marin</v>
          </cell>
          <cell r="F17">
            <v>28</v>
          </cell>
        </row>
        <row r="18">
          <cell r="B18" t="str">
            <v>College of San Mateo</v>
          </cell>
          <cell r="F18">
            <v>39</v>
          </cell>
        </row>
        <row r="19">
          <cell r="B19" t="str">
            <v>College of the Redwoods</v>
          </cell>
          <cell r="F19">
            <v>28</v>
          </cell>
        </row>
        <row r="20">
          <cell r="B20" t="str">
            <v>College of the Sequoias</v>
          </cell>
          <cell r="F20">
            <v>31</v>
          </cell>
        </row>
        <row r="21">
          <cell r="B21" t="str">
            <v>College of the Siskiyous</v>
          </cell>
          <cell r="F21">
            <v>7</v>
          </cell>
        </row>
        <row r="22">
          <cell r="B22" t="str">
            <v>Contra Costa College</v>
          </cell>
          <cell r="F22">
            <v>31</v>
          </cell>
        </row>
        <row r="23">
          <cell r="B23" t="str">
            <v>Cosumnes River College</v>
          </cell>
          <cell r="F23">
            <v>44</v>
          </cell>
        </row>
        <row r="24">
          <cell r="B24" t="str">
            <v>Cuesta College</v>
          </cell>
          <cell r="F24">
            <v>42</v>
          </cell>
        </row>
        <row r="25">
          <cell r="B25" t="str">
            <v>De Anza College</v>
          </cell>
          <cell r="F25">
            <v>81</v>
          </cell>
        </row>
        <row r="26">
          <cell r="B26" t="str">
            <v>Evergreen Valley College</v>
          </cell>
          <cell r="F26">
            <v>25</v>
          </cell>
        </row>
        <row r="27">
          <cell r="B27" t="str">
            <v>Feather River College</v>
          </cell>
          <cell r="F27">
            <v>5</v>
          </cell>
        </row>
        <row r="28">
          <cell r="B28" t="str">
            <v>Folsom Lake College</v>
          </cell>
          <cell r="F28">
            <v>22</v>
          </cell>
        </row>
        <row r="29">
          <cell r="B29" t="str">
            <v>Foothill College</v>
          </cell>
          <cell r="F29">
            <v>28</v>
          </cell>
        </row>
        <row r="30">
          <cell r="B30" t="str">
            <v>Fresno City College</v>
          </cell>
          <cell r="F30">
            <v>53</v>
          </cell>
        </row>
        <row r="31">
          <cell r="B31" t="str">
            <v>Gavilan College</v>
          </cell>
          <cell r="F31">
            <v>26</v>
          </cell>
        </row>
        <row r="32">
          <cell r="B32" t="str">
            <v>Hartnell College</v>
          </cell>
          <cell r="F32">
            <v>28</v>
          </cell>
        </row>
        <row r="33">
          <cell r="B33" t="str">
            <v>Lake Tahoe Community College</v>
          </cell>
          <cell r="F33">
            <v>11</v>
          </cell>
        </row>
        <row r="34">
          <cell r="B34" t="str">
            <v>Laney College</v>
          </cell>
          <cell r="F34">
            <v>26</v>
          </cell>
        </row>
        <row r="35">
          <cell r="B35" t="str">
            <v>Las Positas College</v>
          </cell>
          <cell r="F35">
            <v>56</v>
          </cell>
        </row>
        <row r="36">
          <cell r="B36" t="str">
            <v>Lassen College</v>
          </cell>
          <cell r="F36">
            <v>9</v>
          </cell>
        </row>
        <row r="37">
          <cell r="B37" t="str">
            <v>Los Medanos College</v>
          </cell>
          <cell r="F37">
            <v>40</v>
          </cell>
        </row>
        <row r="38">
          <cell r="B38" t="str">
            <v>Mendocino College</v>
          </cell>
          <cell r="F38">
            <v>25</v>
          </cell>
        </row>
        <row r="39">
          <cell r="B39" t="str">
            <v>Merced College</v>
          </cell>
          <cell r="F39">
            <v>44</v>
          </cell>
        </row>
        <row r="40">
          <cell r="B40" t="str">
            <v>Merritt College</v>
          </cell>
          <cell r="F40">
            <v>13</v>
          </cell>
        </row>
        <row r="41">
          <cell r="B41" t="str">
            <v>Modesto Junior College</v>
          </cell>
          <cell r="F41">
            <v>33</v>
          </cell>
        </row>
        <row r="42">
          <cell r="B42" t="str">
            <v>Monterey Peninsula College</v>
          </cell>
          <cell r="F42">
            <v>30</v>
          </cell>
        </row>
        <row r="43">
          <cell r="B43" t="str">
            <v>Napa Valley College</v>
          </cell>
          <cell r="F43">
            <v>25</v>
          </cell>
        </row>
        <row r="44">
          <cell r="B44" t="str">
            <v>Ohlone College</v>
          </cell>
          <cell r="F44">
            <v>49</v>
          </cell>
        </row>
        <row r="45">
          <cell r="B45" t="str">
            <v>Porterville College</v>
          </cell>
          <cell r="F45">
            <v>9</v>
          </cell>
        </row>
        <row r="46">
          <cell r="B46" t="str">
            <v>Reedley College</v>
          </cell>
          <cell r="F46">
            <v>19</v>
          </cell>
        </row>
        <row r="47">
          <cell r="B47" t="str">
            <v>Sacramento City College</v>
          </cell>
          <cell r="F47">
            <v>68</v>
          </cell>
        </row>
        <row r="48">
          <cell r="B48" t="str">
            <v>San Joaquin Delta College</v>
          </cell>
          <cell r="F48">
            <v>35</v>
          </cell>
        </row>
        <row r="49">
          <cell r="B49" t="str">
            <v>San Jose City College</v>
          </cell>
          <cell r="F49">
            <v>35</v>
          </cell>
        </row>
        <row r="50">
          <cell r="B50" t="str">
            <v>Santa Barbara City College</v>
          </cell>
          <cell r="F50">
            <v>48</v>
          </cell>
        </row>
        <row r="51">
          <cell r="B51" t="str">
            <v>Santa Rosa Junior College</v>
          </cell>
          <cell r="F51">
            <v>57</v>
          </cell>
        </row>
        <row r="52">
          <cell r="B52" t="str">
            <v>Shasta College</v>
          </cell>
          <cell r="F52">
            <v>24</v>
          </cell>
        </row>
        <row r="53">
          <cell r="B53" t="str">
            <v>Sierra College</v>
          </cell>
          <cell r="F53">
            <v>82</v>
          </cell>
        </row>
        <row r="54">
          <cell r="B54" t="str">
            <v>Skyline College</v>
          </cell>
          <cell r="F54">
            <v>32</v>
          </cell>
        </row>
        <row r="55">
          <cell r="B55" t="str">
            <v>Solano Community College</v>
          </cell>
          <cell r="F55">
            <v>26</v>
          </cell>
        </row>
        <row r="56">
          <cell r="B56" t="str">
            <v>Taft College</v>
          </cell>
          <cell r="F56">
            <v>12</v>
          </cell>
        </row>
        <row r="57">
          <cell r="B57" t="str">
            <v>West Hills College Coalinga</v>
          </cell>
          <cell r="F57">
            <v>15</v>
          </cell>
        </row>
        <row r="58">
          <cell r="B58" t="str">
            <v>West Valley College</v>
          </cell>
          <cell r="F58">
            <v>31</v>
          </cell>
        </row>
        <row r="59">
          <cell r="B59" t="str">
            <v>Woodland Community College</v>
          </cell>
          <cell r="F59">
            <v>12</v>
          </cell>
        </row>
        <row r="60">
          <cell r="B60" t="str">
            <v>Yuba College</v>
          </cell>
          <cell r="F60">
            <v>32</v>
          </cell>
        </row>
        <row r="61">
          <cell r="B61" t="str">
            <v>Antelope Valley College</v>
          </cell>
          <cell r="F61">
            <v>48</v>
          </cell>
        </row>
        <row r="62">
          <cell r="B62" t="str">
            <v>Barstow College</v>
          </cell>
          <cell r="F62">
            <v>18</v>
          </cell>
        </row>
        <row r="63">
          <cell r="B63" t="str">
            <v>Cerritos College</v>
          </cell>
          <cell r="F63">
            <v>81</v>
          </cell>
        </row>
        <row r="64">
          <cell r="B64" t="str">
            <v>Cerro Coso College</v>
          </cell>
          <cell r="F64">
            <v>16</v>
          </cell>
        </row>
        <row r="65">
          <cell r="B65" t="str">
            <v>Chaffey College</v>
          </cell>
          <cell r="F65">
            <v>90</v>
          </cell>
        </row>
        <row r="66">
          <cell r="B66" t="str">
            <v>Citrus College</v>
          </cell>
          <cell r="F66">
            <v>32</v>
          </cell>
        </row>
        <row r="67">
          <cell r="B67" t="str">
            <v>Coastline Community College</v>
          </cell>
          <cell r="F67">
            <v>31</v>
          </cell>
        </row>
        <row r="68">
          <cell r="B68" t="str">
            <v>College of the Canyons</v>
          </cell>
          <cell r="F68">
            <v>98</v>
          </cell>
        </row>
        <row r="69">
          <cell r="B69" t="str">
            <v>College of the Desert</v>
          </cell>
          <cell r="F69">
            <v>33</v>
          </cell>
        </row>
        <row r="70">
          <cell r="B70" t="str">
            <v>Compton College</v>
          </cell>
          <cell r="F70">
            <v>20</v>
          </cell>
        </row>
        <row r="71">
          <cell r="B71" t="str">
            <v>Copper Mountain College</v>
          </cell>
          <cell r="F71">
            <v>14</v>
          </cell>
        </row>
        <row r="72">
          <cell r="B72" t="str">
            <v>Crafton Hills College</v>
          </cell>
          <cell r="F72">
            <v>15</v>
          </cell>
        </row>
        <row r="73">
          <cell r="B73" t="str">
            <v>Cuyamaca College</v>
          </cell>
          <cell r="F73">
            <v>46</v>
          </cell>
        </row>
        <row r="74">
          <cell r="B74" t="str">
            <v>Cypress College</v>
          </cell>
          <cell r="F74">
            <v>61</v>
          </cell>
        </row>
        <row r="75">
          <cell r="B75" t="str">
            <v>East Los Angeles College</v>
          </cell>
          <cell r="F75">
            <v>105</v>
          </cell>
        </row>
        <row r="76">
          <cell r="B76" t="str">
            <v>El Camino College</v>
          </cell>
          <cell r="F76">
            <v>139</v>
          </cell>
        </row>
        <row r="77">
          <cell r="B77" t="str">
            <v>Fullerton College</v>
          </cell>
          <cell r="F77">
            <v>93</v>
          </cell>
        </row>
        <row r="78">
          <cell r="B78" t="str">
            <v>Glendale College</v>
          </cell>
          <cell r="F78">
            <v>84</v>
          </cell>
        </row>
        <row r="79">
          <cell r="B79" t="str">
            <v>Goldenwest College</v>
          </cell>
          <cell r="F79">
            <v>26</v>
          </cell>
        </row>
        <row r="80">
          <cell r="B80" t="str">
            <v>Grossmont College</v>
          </cell>
          <cell r="F80">
            <v>77</v>
          </cell>
        </row>
        <row r="81">
          <cell r="B81" t="str">
            <v>Imperial Valley College</v>
          </cell>
          <cell r="F81">
            <v>25</v>
          </cell>
        </row>
        <row r="82">
          <cell r="B82" t="str">
            <v>Irvine Valley College</v>
          </cell>
          <cell r="F82">
            <v>44</v>
          </cell>
        </row>
        <row r="83">
          <cell r="B83" t="str">
            <v>Long Beach City College</v>
          </cell>
          <cell r="F83">
            <v>30</v>
          </cell>
        </row>
        <row r="84">
          <cell r="B84" t="str">
            <v>Los Angeles City College</v>
          </cell>
          <cell r="F84">
            <v>32</v>
          </cell>
        </row>
        <row r="85">
          <cell r="B85" t="str">
            <v>Los Angeles Harbor College</v>
          </cell>
          <cell r="F85">
            <v>17</v>
          </cell>
        </row>
        <row r="86">
          <cell r="B86" t="str">
            <v>Los Angeles Mission College</v>
          </cell>
          <cell r="F86">
            <v>42</v>
          </cell>
        </row>
        <row r="87">
          <cell r="B87" t="str">
            <v>Los Angeles Pierce College</v>
          </cell>
          <cell r="F87">
            <v>67</v>
          </cell>
        </row>
        <row r="88">
          <cell r="B88" t="str">
            <v>Los Angeles Southwest College</v>
          </cell>
          <cell r="F88">
            <v>18</v>
          </cell>
        </row>
        <row r="89">
          <cell r="B89" t="str">
            <v>Los Angeles Trade Tech College</v>
          </cell>
          <cell r="F89">
            <v>28</v>
          </cell>
        </row>
        <row r="90">
          <cell r="B90" t="str">
            <v>Los Angeles Valley College</v>
          </cell>
          <cell r="F90">
            <v>35</v>
          </cell>
        </row>
        <row r="91">
          <cell r="B91" t="str">
            <v>MiraCosta College</v>
          </cell>
          <cell r="F91">
            <v>75</v>
          </cell>
        </row>
        <row r="92">
          <cell r="B92" t="str">
            <v>Moorpark College</v>
          </cell>
          <cell r="F92">
            <v>61</v>
          </cell>
        </row>
        <row r="93">
          <cell r="B93" t="str">
            <v>Moreno Valley College</v>
          </cell>
          <cell r="F93">
            <v>27</v>
          </cell>
        </row>
        <row r="94">
          <cell r="B94" t="str">
            <v>Mt. San Antonio College</v>
          </cell>
          <cell r="F94">
            <v>88</v>
          </cell>
        </row>
        <row r="95">
          <cell r="B95" t="str">
            <v>Mt. San Jacinto College</v>
          </cell>
          <cell r="F95">
            <v>20</v>
          </cell>
        </row>
        <row r="96">
          <cell r="B96" t="str">
            <v>Norco College</v>
          </cell>
          <cell r="F96">
            <v>18</v>
          </cell>
        </row>
        <row r="97">
          <cell r="B97" t="str">
            <v>Orange Coast College</v>
          </cell>
          <cell r="F97">
            <v>26</v>
          </cell>
        </row>
        <row r="98">
          <cell r="B98" t="str">
            <v>Oxnard College</v>
          </cell>
          <cell r="F98">
            <v>23</v>
          </cell>
        </row>
        <row r="99">
          <cell r="B99" t="str">
            <v>Palo Verde College</v>
          </cell>
          <cell r="F99">
            <v>7</v>
          </cell>
        </row>
        <row r="100">
          <cell r="B100" t="str">
            <v>Palomar College</v>
          </cell>
          <cell r="F100">
            <v>91</v>
          </cell>
        </row>
        <row r="101">
          <cell r="B101" t="str">
            <v>Pasadena City College</v>
          </cell>
          <cell r="F101">
            <v>42</v>
          </cell>
        </row>
        <row r="102">
          <cell r="B102" t="str">
            <v>Rio Hondo College</v>
          </cell>
          <cell r="F102">
            <v>45</v>
          </cell>
        </row>
        <row r="103">
          <cell r="B103" t="str">
            <v>Riverside City College</v>
          </cell>
          <cell r="F103">
            <v>28</v>
          </cell>
        </row>
        <row r="104">
          <cell r="B104" t="str">
            <v>Saddleback College</v>
          </cell>
          <cell r="F104">
            <v>56</v>
          </cell>
        </row>
        <row r="105">
          <cell r="B105" t="str">
            <v>San Bernardino Valley College</v>
          </cell>
          <cell r="F105">
            <v>38</v>
          </cell>
        </row>
        <row r="106">
          <cell r="B106" t="str">
            <v>San Diego City College</v>
          </cell>
          <cell r="F106">
            <v>27</v>
          </cell>
        </row>
        <row r="107">
          <cell r="B107" t="str">
            <v>San Diego Mesa College</v>
          </cell>
          <cell r="F107">
            <v>67</v>
          </cell>
        </row>
        <row r="108">
          <cell r="B108" t="str">
            <v>San Diego Miramar College</v>
          </cell>
          <cell r="F108">
            <v>35</v>
          </cell>
        </row>
        <row r="109">
          <cell r="B109" t="str">
            <v>Santa Ana College</v>
          </cell>
          <cell r="F109">
            <v>80</v>
          </cell>
        </row>
        <row r="110">
          <cell r="B110" t="str">
            <v>Santa Monica College</v>
          </cell>
          <cell r="F110">
            <v>147</v>
          </cell>
        </row>
        <row r="111">
          <cell r="B111" t="str">
            <v>Santiago Canyon College</v>
          </cell>
          <cell r="F111">
            <v>32</v>
          </cell>
        </row>
        <row r="112">
          <cell r="B112" t="str">
            <v>Southwestern College</v>
          </cell>
          <cell r="F112">
            <v>18</v>
          </cell>
        </row>
        <row r="113">
          <cell r="B113" t="str">
            <v>Ventura College</v>
          </cell>
          <cell r="F113">
            <v>42</v>
          </cell>
        </row>
        <row r="114">
          <cell r="B114" t="str">
            <v>Victor Valley College</v>
          </cell>
          <cell r="F114">
            <v>35</v>
          </cell>
        </row>
        <row r="115">
          <cell r="B115" t="str">
            <v>West Los Angeles College</v>
          </cell>
          <cell r="F115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50E-0EDD-4B94-BA8D-4DB82D3BE1B1}">
  <dimension ref="A1:F1273"/>
  <sheetViews>
    <sheetView topLeftCell="A1262" workbookViewId="0">
      <selection activeCell="I1271" sqref="I1271"/>
    </sheetView>
  </sheetViews>
  <sheetFormatPr defaultRowHeight="14.4" x14ac:dyDescent="0.3"/>
  <cols>
    <col min="1" max="1" width="9.77734375" customWidth="1"/>
    <col min="2" max="2" width="9.21875" customWidth="1"/>
    <col min="3" max="3" width="14.44140625" style="1" bestFit="1" customWidth="1"/>
    <col min="4" max="4" width="5.6640625" style="1" customWidth="1"/>
    <col min="5" max="5" width="41.5546875" customWidth="1"/>
    <col min="6" max="6" width="10.77734375" customWidth="1"/>
  </cols>
  <sheetData>
    <row r="1" spans="1:6" x14ac:dyDescent="0.3">
      <c r="A1" s="7" t="s">
        <v>0</v>
      </c>
      <c r="B1" s="2" t="s">
        <v>142</v>
      </c>
      <c r="C1" s="14" t="s">
        <v>143</v>
      </c>
      <c r="D1" s="7" t="s">
        <v>1</v>
      </c>
      <c r="E1" s="14" t="s">
        <v>144</v>
      </c>
      <c r="F1" s="6" t="s">
        <v>146</v>
      </c>
    </row>
    <row r="2" spans="1:6" x14ac:dyDescent="0.3">
      <c r="A2" s="1">
        <v>2178</v>
      </c>
      <c r="B2" s="3">
        <v>1975</v>
      </c>
      <c r="C2" s="5">
        <v>1996</v>
      </c>
      <c r="D2" s="1">
        <v>4</v>
      </c>
      <c r="E2" s="8" t="s">
        <v>25</v>
      </c>
      <c r="F2" t="s">
        <v>147</v>
      </c>
    </row>
    <row r="3" spans="1:6" x14ac:dyDescent="0.3">
      <c r="A3" s="1">
        <v>1968</v>
      </c>
      <c r="B3" s="3">
        <v>1979</v>
      </c>
      <c r="C3" s="5">
        <v>2016</v>
      </c>
      <c r="D3" s="1">
        <v>7</v>
      </c>
      <c r="E3" s="8" t="s">
        <v>189</v>
      </c>
      <c r="F3" t="s">
        <v>147</v>
      </c>
    </row>
    <row r="4" spans="1:6" x14ac:dyDescent="0.3">
      <c r="A4" s="1">
        <v>2117</v>
      </c>
      <c r="B4" s="3">
        <v>1979</v>
      </c>
      <c r="C4" s="5">
        <v>2004</v>
      </c>
      <c r="D4" s="1">
        <v>3</v>
      </c>
      <c r="E4" s="4" t="s">
        <v>195</v>
      </c>
      <c r="F4" t="s">
        <v>147</v>
      </c>
    </row>
    <row r="5" spans="1:6" x14ac:dyDescent="0.3">
      <c r="A5" s="1">
        <v>2138</v>
      </c>
      <c r="B5" s="3">
        <v>1979</v>
      </c>
      <c r="C5" s="5">
        <v>1981</v>
      </c>
      <c r="D5" s="1">
        <v>3</v>
      </c>
      <c r="E5" s="8" t="s">
        <v>99</v>
      </c>
      <c r="F5" t="s">
        <v>147</v>
      </c>
    </row>
    <row r="6" spans="1:6" x14ac:dyDescent="0.3">
      <c r="A6" s="1">
        <v>1420</v>
      </c>
      <c r="B6" s="3">
        <v>2002</v>
      </c>
      <c r="C6" s="5">
        <v>2017</v>
      </c>
      <c r="D6" s="1">
        <v>14</v>
      </c>
      <c r="E6" s="8" t="s">
        <v>23</v>
      </c>
      <c r="F6" t="s">
        <v>149</v>
      </c>
    </row>
    <row r="7" spans="1:6" x14ac:dyDescent="0.3">
      <c r="A7" s="1">
        <v>2090</v>
      </c>
      <c r="B7" s="3">
        <v>1980</v>
      </c>
      <c r="C7" s="5">
        <v>1998</v>
      </c>
      <c r="D7" s="1">
        <v>2</v>
      </c>
      <c r="E7" s="8" t="s">
        <v>154</v>
      </c>
      <c r="F7" t="s">
        <v>145</v>
      </c>
    </row>
    <row r="8" spans="1:6" x14ac:dyDescent="0.3">
      <c r="A8" s="1">
        <v>1156</v>
      </c>
      <c r="B8" s="3">
        <v>1984</v>
      </c>
      <c r="C8" s="5">
        <v>2008</v>
      </c>
      <c r="D8" s="1">
        <v>10</v>
      </c>
      <c r="E8" s="8" t="s">
        <v>213</v>
      </c>
      <c r="F8" t="s">
        <v>145</v>
      </c>
    </row>
    <row r="9" spans="1:6" x14ac:dyDescent="0.3">
      <c r="A9" s="1">
        <v>2262</v>
      </c>
      <c r="B9" s="3">
        <v>1985</v>
      </c>
      <c r="C9" s="5">
        <v>2006</v>
      </c>
      <c r="D9" s="1">
        <v>4</v>
      </c>
      <c r="E9" s="8" t="s">
        <v>162</v>
      </c>
      <c r="F9" t="s">
        <v>145</v>
      </c>
    </row>
    <row r="10" spans="1:6" x14ac:dyDescent="0.3">
      <c r="A10" s="1">
        <v>2097</v>
      </c>
      <c r="B10" s="3">
        <v>1991</v>
      </c>
      <c r="C10" s="5">
        <v>1998</v>
      </c>
      <c r="D10" s="1">
        <v>4</v>
      </c>
      <c r="E10" s="8" t="s">
        <v>148</v>
      </c>
      <c r="F10" t="s">
        <v>145</v>
      </c>
    </row>
    <row r="11" spans="1:6" x14ac:dyDescent="0.3">
      <c r="A11" s="1">
        <v>2058</v>
      </c>
      <c r="B11" s="3">
        <v>2017</v>
      </c>
      <c r="C11" s="5">
        <v>2017</v>
      </c>
      <c r="D11" s="1">
        <v>2</v>
      </c>
      <c r="E11" s="8" t="s">
        <v>132</v>
      </c>
      <c r="F11" t="s">
        <v>163</v>
      </c>
    </row>
    <row r="12" spans="1:6" x14ac:dyDescent="0.3">
      <c r="A12" s="1">
        <v>1606</v>
      </c>
      <c r="B12" s="3">
        <v>2008</v>
      </c>
      <c r="C12" s="5">
        <v>2008</v>
      </c>
      <c r="D12" s="1">
        <v>1</v>
      </c>
      <c r="E12" s="8" t="s">
        <v>78</v>
      </c>
      <c r="F12" t="s">
        <v>288</v>
      </c>
    </row>
    <row r="13" spans="1:6" x14ac:dyDescent="0.3">
      <c r="A13" s="1">
        <v>1346</v>
      </c>
      <c r="B13" s="3">
        <v>1993</v>
      </c>
      <c r="C13" s="5">
        <v>2012</v>
      </c>
      <c r="D13" s="1">
        <v>8</v>
      </c>
      <c r="E13" s="8" t="s">
        <v>247</v>
      </c>
      <c r="F13" t="s">
        <v>145</v>
      </c>
    </row>
    <row r="14" spans="1:6" x14ac:dyDescent="0.3">
      <c r="A14" s="1">
        <v>1072</v>
      </c>
      <c r="B14" s="3">
        <v>1998</v>
      </c>
      <c r="C14" s="5">
        <v>2013</v>
      </c>
      <c r="D14" s="1">
        <v>9</v>
      </c>
      <c r="E14" s="8" t="s">
        <v>200</v>
      </c>
      <c r="F14" t="s">
        <v>145</v>
      </c>
    </row>
    <row r="15" spans="1:6" x14ac:dyDescent="0.3">
      <c r="A15" s="1">
        <v>1471</v>
      </c>
      <c r="B15" s="3">
        <v>2007</v>
      </c>
      <c r="C15" s="5">
        <v>2008</v>
      </c>
      <c r="D15" s="1">
        <v>2</v>
      </c>
      <c r="E15" s="8" t="s">
        <v>214</v>
      </c>
      <c r="F15" t="s">
        <v>145</v>
      </c>
    </row>
    <row r="16" spans="1:6" x14ac:dyDescent="0.3">
      <c r="A16" s="1">
        <v>1764</v>
      </c>
      <c r="B16" s="3">
        <v>2007</v>
      </c>
      <c r="C16" s="5">
        <v>2008</v>
      </c>
      <c r="D16" s="1">
        <v>2</v>
      </c>
      <c r="E16" s="8" t="s">
        <v>216</v>
      </c>
      <c r="F16" t="s">
        <v>145</v>
      </c>
    </row>
    <row r="17" spans="1:6" x14ac:dyDescent="0.3">
      <c r="A17" s="1">
        <v>1610</v>
      </c>
      <c r="B17" s="3">
        <v>2007</v>
      </c>
      <c r="C17" s="5">
        <v>2009</v>
      </c>
      <c r="D17" s="1">
        <v>3</v>
      </c>
      <c r="E17" s="8" t="s">
        <v>199</v>
      </c>
      <c r="F17" t="s">
        <v>145</v>
      </c>
    </row>
    <row r="18" spans="1:6" x14ac:dyDescent="0.3">
      <c r="A18" s="1">
        <v>1416</v>
      </c>
      <c r="B18" s="3">
        <v>2007</v>
      </c>
      <c r="C18" s="5">
        <v>2014</v>
      </c>
      <c r="D18" s="1">
        <v>4</v>
      </c>
      <c r="E18" s="8" t="s">
        <v>192</v>
      </c>
      <c r="F18" t="s">
        <v>145</v>
      </c>
    </row>
    <row r="19" spans="1:6" x14ac:dyDescent="0.3">
      <c r="A19" s="1">
        <v>1578</v>
      </c>
      <c r="B19" s="3">
        <v>2007</v>
      </c>
      <c r="C19" s="5">
        <v>2017</v>
      </c>
      <c r="D19" s="1">
        <v>12</v>
      </c>
      <c r="E19" s="8" t="s">
        <v>222</v>
      </c>
      <c r="F19" t="s">
        <v>145</v>
      </c>
    </row>
    <row r="20" spans="1:6" x14ac:dyDescent="0.3">
      <c r="A20" s="1">
        <v>1771</v>
      </c>
      <c r="B20" s="3">
        <v>2007</v>
      </c>
      <c r="C20" s="5">
        <v>2017</v>
      </c>
      <c r="D20" s="1">
        <v>13</v>
      </c>
      <c r="E20" s="8" t="s">
        <v>211</v>
      </c>
      <c r="F20" t="s">
        <v>145</v>
      </c>
    </row>
    <row r="21" spans="1:6" x14ac:dyDescent="0.3">
      <c r="A21" s="1">
        <v>1679</v>
      </c>
      <c r="B21" s="3">
        <v>2008</v>
      </c>
      <c r="C21" s="5">
        <v>2011</v>
      </c>
      <c r="D21" s="1">
        <v>4</v>
      </c>
      <c r="E21" s="8" t="s">
        <v>151</v>
      </c>
      <c r="F21" t="s">
        <v>145</v>
      </c>
    </row>
    <row r="22" spans="1:6" x14ac:dyDescent="0.3">
      <c r="A22" s="1">
        <v>1224</v>
      </c>
      <c r="B22" s="3">
        <v>2009</v>
      </c>
      <c r="C22" s="5">
        <v>2009</v>
      </c>
      <c r="D22" s="1">
        <v>1</v>
      </c>
      <c r="E22" s="8" t="s">
        <v>161</v>
      </c>
      <c r="F22" t="s">
        <v>145</v>
      </c>
    </row>
    <row r="23" spans="1:6" x14ac:dyDescent="0.3">
      <c r="A23" s="1">
        <v>1249</v>
      </c>
      <c r="B23" s="3">
        <v>2009</v>
      </c>
      <c r="C23" s="5">
        <v>2009</v>
      </c>
      <c r="D23" s="1">
        <v>1</v>
      </c>
      <c r="E23" s="8" t="s">
        <v>167</v>
      </c>
      <c r="F23" t="s">
        <v>145</v>
      </c>
    </row>
    <row r="24" spans="1:6" x14ac:dyDescent="0.3">
      <c r="A24" s="1">
        <v>1466</v>
      </c>
      <c r="B24" s="3">
        <v>2009</v>
      </c>
      <c r="C24" s="5">
        <v>2017</v>
      </c>
      <c r="D24" s="1">
        <v>6</v>
      </c>
      <c r="E24" s="8" t="s">
        <v>245</v>
      </c>
      <c r="F24" t="s">
        <v>145</v>
      </c>
    </row>
    <row r="25" spans="1:6" x14ac:dyDescent="0.3">
      <c r="A25" s="1">
        <v>1468</v>
      </c>
      <c r="B25" s="3">
        <v>2009</v>
      </c>
      <c r="C25" s="5">
        <v>2017</v>
      </c>
      <c r="D25" s="1">
        <v>6</v>
      </c>
      <c r="E25" s="8" t="s">
        <v>245</v>
      </c>
      <c r="F25" t="s">
        <v>145</v>
      </c>
    </row>
    <row r="26" spans="1:6" x14ac:dyDescent="0.3">
      <c r="A26" s="1">
        <v>1624</v>
      </c>
      <c r="B26" s="3">
        <v>2010</v>
      </c>
      <c r="C26" s="5">
        <v>2010</v>
      </c>
      <c r="D26" s="1">
        <v>1</v>
      </c>
      <c r="E26" s="8" t="s">
        <v>104</v>
      </c>
      <c r="F26" t="s">
        <v>145</v>
      </c>
    </row>
    <row r="27" spans="1:6" x14ac:dyDescent="0.3">
      <c r="A27" s="1">
        <v>1309</v>
      </c>
      <c r="B27" s="3">
        <v>2011</v>
      </c>
      <c r="C27" s="5">
        <v>2011</v>
      </c>
      <c r="D27" s="1">
        <v>1</v>
      </c>
      <c r="E27" s="8" t="s">
        <v>220</v>
      </c>
      <c r="F27" t="s">
        <v>145</v>
      </c>
    </row>
    <row r="28" spans="1:6" x14ac:dyDescent="0.3">
      <c r="A28" s="1">
        <v>1186</v>
      </c>
      <c r="B28" s="3">
        <v>2011</v>
      </c>
      <c r="C28" s="5">
        <v>2014</v>
      </c>
      <c r="D28" s="1">
        <v>4</v>
      </c>
      <c r="E28" s="8" t="s">
        <v>243</v>
      </c>
      <c r="F28" t="s">
        <v>145</v>
      </c>
    </row>
    <row r="29" spans="1:6" x14ac:dyDescent="0.3">
      <c r="A29" s="1">
        <v>1472</v>
      </c>
      <c r="B29" s="3">
        <v>2014</v>
      </c>
      <c r="C29" s="5">
        <v>2016</v>
      </c>
      <c r="D29" s="1">
        <v>4</v>
      </c>
      <c r="E29" s="8" t="s">
        <v>215</v>
      </c>
      <c r="F29" t="s">
        <v>145</v>
      </c>
    </row>
    <row r="30" spans="1:6" x14ac:dyDescent="0.3">
      <c r="A30" s="1">
        <v>1825</v>
      </c>
      <c r="B30" s="3">
        <v>2015</v>
      </c>
      <c r="C30" s="5">
        <v>2017</v>
      </c>
      <c r="D30" s="1">
        <v>2</v>
      </c>
      <c r="E30" s="8" t="s">
        <v>160</v>
      </c>
      <c r="F30" t="s">
        <v>145</v>
      </c>
    </row>
    <row r="31" spans="1:6" x14ac:dyDescent="0.3">
      <c r="A31" s="1">
        <v>1793</v>
      </c>
      <c r="B31" s="3">
        <v>2016</v>
      </c>
      <c r="C31" s="5">
        <v>2016</v>
      </c>
      <c r="D31" s="1">
        <v>3</v>
      </c>
      <c r="E31" s="8" t="s">
        <v>246</v>
      </c>
      <c r="F31" t="s">
        <v>145</v>
      </c>
    </row>
    <row r="32" spans="1:6" x14ac:dyDescent="0.3">
      <c r="A32" s="1">
        <v>2025</v>
      </c>
      <c r="B32" s="3">
        <v>2016</v>
      </c>
      <c r="C32" s="5">
        <v>2016</v>
      </c>
      <c r="D32" s="1">
        <v>1</v>
      </c>
      <c r="E32" s="8" t="s">
        <v>242</v>
      </c>
      <c r="F32" t="s">
        <v>145</v>
      </c>
    </row>
    <row r="33" spans="1:6" x14ac:dyDescent="0.3">
      <c r="A33" s="1">
        <v>2041</v>
      </c>
      <c r="B33" s="3">
        <v>2016</v>
      </c>
      <c r="C33" s="5">
        <v>2017</v>
      </c>
      <c r="D33" s="1">
        <v>2</v>
      </c>
      <c r="E33" s="8" t="s">
        <v>248</v>
      </c>
      <c r="F33" t="s">
        <v>145</v>
      </c>
    </row>
    <row r="34" spans="1:6" x14ac:dyDescent="0.3">
      <c r="A34" s="1">
        <v>1972</v>
      </c>
      <c r="B34" s="3">
        <v>2016</v>
      </c>
      <c r="C34" s="5">
        <v>2016</v>
      </c>
      <c r="D34" s="1">
        <v>1</v>
      </c>
      <c r="E34" s="8" t="s">
        <v>152</v>
      </c>
      <c r="F34" t="s">
        <v>145</v>
      </c>
    </row>
    <row r="35" spans="1:6" x14ac:dyDescent="0.3">
      <c r="A35" s="1">
        <v>2153</v>
      </c>
      <c r="B35" s="3">
        <v>1975</v>
      </c>
      <c r="C35" s="5">
        <v>1976</v>
      </c>
      <c r="D35" s="1">
        <v>2</v>
      </c>
      <c r="E35" s="4" t="s">
        <v>256</v>
      </c>
      <c r="F35" t="s">
        <v>147</v>
      </c>
    </row>
    <row r="36" spans="1:6" x14ac:dyDescent="0.3">
      <c r="A36" s="1">
        <v>2115</v>
      </c>
      <c r="B36" s="3">
        <v>1976</v>
      </c>
      <c r="C36" s="5">
        <v>2002</v>
      </c>
      <c r="D36" s="1">
        <v>8</v>
      </c>
      <c r="E36" s="8" t="s">
        <v>55</v>
      </c>
      <c r="F36" t="s">
        <v>147</v>
      </c>
    </row>
    <row r="37" spans="1:6" x14ac:dyDescent="0.3">
      <c r="A37" s="1">
        <v>2179</v>
      </c>
      <c r="B37" s="3">
        <v>1977</v>
      </c>
      <c r="C37" s="5">
        <v>1987</v>
      </c>
      <c r="D37" s="1">
        <v>3</v>
      </c>
      <c r="E37" s="8" t="s">
        <v>17</v>
      </c>
      <c r="F37" t="s">
        <v>147</v>
      </c>
    </row>
    <row r="38" spans="1:6" x14ac:dyDescent="0.3">
      <c r="A38" s="1">
        <v>2140</v>
      </c>
      <c r="B38" s="3">
        <v>1979</v>
      </c>
      <c r="C38" s="5">
        <v>1992</v>
      </c>
      <c r="D38" s="1">
        <v>4</v>
      </c>
      <c r="E38" s="8" t="s">
        <v>17</v>
      </c>
      <c r="F38" t="s">
        <v>147</v>
      </c>
    </row>
    <row r="39" spans="1:6" x14ac:dyDescent="0.3">
      <c r="A39" s="1">
        <v>2091</v>
      </c>
      <c r="B39" s="3">
        <v>1980</v>
      </c>
      <c r="C39" s="5">
        <v>1999</v>
      </c>
      <c r="D39" s="1">
        <v>2</v>
      </c>
      <c r="E39" s="8" t="s">
        <v>168</v>
      </c>
      <c r="F39" t="s">
        <v>147</v>
      </c>
    </row>
    <row r="40" spans="1:6" x14ac:dyDescent="0.3">
      <c r="A40" s="1">
        <v>2143</v>
      </c>
      <c r="B40" s="3">
        <v>1980</v>
      </c>
      <c r="C40" s="5">
        <v>1989</v>
      </c>
      <c r="D40" s="1">
        <v>2</v>
      </c>
      <c r="E40" s="8" t="s">
        <v>17</v>
      </c>
      <c r="F40" t="s">
        <v>147</v>
      </c>
    </row>
    <row r="41" spans="1:6" x14ac:dyDescent="0.3">
      <c r="A41" s="1">
        <v>1960</v>
      </c>
      <c r="B41" s="3">
        <v>1982</v>
      </c>
      <c r="C41" s="5">
        <v>1998</v>
      </c>
      <c r="D41" s="1">
        <v>8</v>
      </c>
      <c r="E41" s="8" t="s">
        <v>263</v>
      </c>
      <c r="F41" t="s">
        <v>147</v>
      </c>
    </row>
    <row r="42" spans="1:6" x14ac:dyDescent="0.3">
      <c r="A42" s="1">
        <v>2237</v>
      </c>
      <c r="B42" s="3">
        <v>1983</v>
      </c>
      <c r="C42" s="5">
        <v>1999</v>
      </c>
      <c r="D42" s="1">
        <v>2</v>
      </c>
      <c r="E42" s="8" t="s">
        <v>226</v>
      </c>
      <c r="F42" t="s">
        <v>147</v>
      </c>
    </row>
    <row r="43" spans="1:6" x14ac:dyDescent="0.3">
      <c r="A43" s="1">
        <v>1215</v>
      </c>
      <c r="B43" s="3">
        <v>1984</v>
      </c>
      <c r="C43" s="5">
        <v>2009</v>
      </c>
      <c r="D43" s="1">
        <v>2</v>
      </c>
      <c r="E43" s="8" t="s">
        <v>275</v>
      </c>
      <c r="F43" t="s">
        <v>147</v>
      </c>
    </row>
    <row r="44" spans="1:6" x14ac:dyDescent="0.3">
      <c r="A44" s="1">
        <v>1334</v>
      </c>
      <c r="B44" s="3">
        <v>1986</v>
      </c>
      <c r="C44" s="5">
        <v>2017</v>
      </c>
      <c r="D44" s="1">
        <v>21</v>
      </c>
      <c r="E44" s="8" t="s">
        <v>77</v>
      </c>
      <c r="F44" t="s">
        <v>147</v>
      </c>
    </row>
    <row r="45" spans="1:6" x14ac:dyDescent="0.3">
      <c r="A45" s="1">
        <v>2156</v>
      </c>
      <c r="B45" s="3">
        <v>1987</v>
      </c>
      <c r="C45" s="5">
        <v>1990</v>
      </c>
      <c r="D45" s="1">
        <v>2</v>
      </c>
      <c r="E45" s="8" t="s">
        <v>103</v>
      </c>
      <c r="F45" t="s">
        <v>147</v>
      </c>
    </row>
    <row r="46" spans="1:6" x14ac:dyDescent="0.3">
      <c r="A46" s="1">
        <v>2257</v>
      </c>
      <c r="B46" s="3">
        <v>1987</v>
      </c>
      <c r="C46" s="5">
        <v>2002</v>
      </c>
      <c r="D46" s="1">
        <v>2</v>
      </c>
      <c r="E46" s="8" t="s">
        <v>237</v>
      </c>
      <c r="F46" t="s">
        <v>147</v>
      </c>
    </row>
    <row r="47" spans="1:6" x14ac:dyDescent="0.3">
      <c r="A47" s="1">
        <v>1619</v>
      </c>
      <c r="B47" s="3">
        <v>1988</v>
      </c>
      <c r="C47" s="5">
        <v>2017</v>
      </c>
      <c r="D47" s="1">
        <v>21</v>
      </c>
      <c r="E47" s="8" t="s">
        <v>244</v>
      </c>
      <c r="F47" t="s">
        <v>147</v>
      </c>
    </row>
    <row r="48" spans="1:6" x14ac:dyDescent="0.3">
      <c r="A48" s="1">
        <v>1070</v>
      </c>
      <c r="B48" s="3">
        <v>1989</v>
      </c>
      <c r="C48" s="5">
        <v>2008</v>
      </c>
      <c r="D48" s="1">
        <v>7</v>
      </c>
      <c r="E48" s="8" t="s">
        <v>38</v>
      </c>
      <c r="F48" t="s">
        <v>147</v>
      </c>
    </row>
    <row r="49" spans="1:6" x14ac:dyDescent="0.3">
      <c r="A49" s="1">
        <v>1325</v>
      </c>
      <c r="B49" s="3">
        <v>1989</v>
      </c>
      <c r="C49" s="5">
        <v>2008</v>
      </c>
      <c r="D49" s="1">
        <v>4</v>
      </c>
      <c r="E49" s="8" t="s">
        <v>55</v>
      </c>
      <c r="F49" t="s">
        <v>147</v>
      </c>
    </row>
    <row r="50" spans="1:6" x14ac:dyDescent="0.3">
      <c r="A50" s="1">
        <v>1802</v>
      </c>
      <c r="B50" s="3">
        <v>1990</v>
      </c>
      <c r="C50" s="5">
        <v>2007</v>
      </c>
      <c r="D50" s="1">
        <v>4</v>
      </c>
      <c r="E50" s="8" t="s">
        <v>188</v>
      </c>
      <c r="F50" t="s">
        <v>147</v>
      </c>
    </row>
    <row r="51" spans="1:6" x14ac:dyDescent="0.3">
      <c r="A51" s="1">
        <v>1185</v>
      </c>
      <c r="B51" s="3">
        <v>1990</v>
      </c>
      <c r="C51" s="5">
        <v>2008</v>
      </c>
      <c r="D51" s="1">
        <v>7</v>
      </c>
      <c r="E51" s="8" t="s">
        <v>38</v>
      </c>
      <c r="F51" t="s">
        <v>147</v>
      </c>
    </row>
    <row r="52" spans="1:6" x14ac:dyDescent="0.3">
      <c r="A52" s="1">
        <v>1018</v>
      </c>
      <c r="B52" s="3">
        <v>1990</v>
      </c>
      <c r="C52" s="5">
        <v>2016</v>
      </c>
      <c r="D52" s="1">
        <v>10</v>
      </c>
      <c r="E52" s="8" t="s">
        <v>229</v>
      </c>
      <c r="F52" t="s">
        <v>147</v>
      </c>
    </row>
    <row r="53" spans="1:6" x14ac:dyDescent="0.3">
      <c r="A53" s="1">
        <v>1895</v>
      </c>
      <c r="B53" s="3">
        <v>1990</v>
      </c>
      <c r="C53" s="5">
        <v>2016</v>
      </c>
      <c r="D53" s="1">
        <v>9</v>
      </c>
      <c r="E53" s="8" t="s">
        <v>194</v>
      </c>
      <c r="F53" t="s">
        <v>147</v>
      </c>
    </row>
    <row r="54" spans="1:6" x14ac:dyDescent="0.3">
      <c r="A54" s="1">
        <v>2118</v>
      </c>
      <c r="B54" s="3">
        <v>1990</v>
      </c>
      <c r="C54" s="5">
        <v>1994</v>
      </c>
      <c r="D54" s="1">
        <v>2</v>
      </c>
      <c r="E54" s="8" t="s">
        <v>60</v>
      </c>
      <c r="F54" t="s">
        <v>147</v>
      </c>
    </row>
    <row r="55" spans="1:6" x14ac:dyDescent="0.3">
      <c r="A55" s="1">
        <v>2260</v>
      </c>
      <c r="B55" s="3">
        <v>1990</v>
      </c>
      <c r="C55" s="5">
        <v>1994</v>
      </c>
      <c r="D55" s="1">
        <v>3</v>
      </c>
      <c r="E55" s="8" t="s">
        <v>138</v>
      </c>
      <c r="F55" t="s">
        <v>147</v>
      </c>
    </row>
    <row r="56" spans="1:6" x14ac:dyDescent="0.3">
      <c r="A56" s="1">
        <v>1688</v>
      </c>
      <c r="B56" s="3">
        <v>1991</v>
      </c>
      <c r="C56" s="5">
        <v>2014</v>
      </c>
      <c r="D56" s="1">
        <v>2</v>
      </c>
      <c r="E56" s="8" t="s">
        <v>231</v>
      </c>
      <c r="F56" t="s">
        <v>147</v>
      </c>
    </row>
    <row r="57" spans="1:6" x14ac:dyDescent="0.3">
      <c r="A57" s="1">
        <v>2171</v>
      </c>
      <c r="B57" s="3">
        <v>1991</v>
      </c>
      <c r="C57" s="5">
        <v>1998</v>
      </c>
      <c r="D57" s="1">
        <v>5</v>
      </c>
      <c r="E57" s="8" t="s">
        <v>180</v>
      </c>
      <c r="F57" t="s">
        <v>147</v>
      </c>
    </row>
    <row r="58" spans="1:6" x14ac:dyDescent="0.3">
      <c r="A58" s="1">
        <v>1829</v>
      </c>
      <c r="B58" s="3">
        <v>1992</v>
      </c>
      <c r="C58" s="5">
        <v>2007</v>
      </c>
      <c r="D58" s="1">
        <v>8</v>
      </c>
      <c r="E58" s="8" t="s">
        <v>267</v>
      </c>
      <c r="F58" t="s">
        <v>147</v>
      </c>
    </row>
    <row r="59" spans="1:6" x14ac:dyDescent="0.3">
      <c r="A59" s="1">
        <v>1083</v>
      </c>
      <c r="B59" s="3">
        <v>1992</v>
      </c>
      <c r="C59" s="5">
        <v>2014</v>
      </c>
      <c r="D59" s="1">
        <v>5</v>
      </c>
      <c r="E59" s="8" t="s">
        <v>193</v>
      </c>
      <c r="F59" t="s">
        <v>147</v>
      </c>
    </row>
    <row r="60" spans="1:6" x14ac:dyDescent="0.3">
      <c r="A60" s="1">
        <v>2142</v>
      </c>
      <c r="B60" s="3">
        <v>1992</v>
      </c>
      <c r="C60" s="5">
        <v>2006</v>
      </c>
      <c r="D60" s="1">
        <v>3</v>
      </c>
      <c r="E60" s="8" t="s">
        <v>133</v>
      </c>
      <c r="F60" t="s">
        <v>147</v>
      </c>
    </row>
    <row r="61" spans="1:6" x14ac:dyDescent="0.3">
      <c r="A61" s="1">
        <v>1837</v>
      </c>
      <c r="B61" s="3">
        <v>1993</v>
      </c>
      <c r="C61" s="5">
        <v>2007</v>
      </c>
      <c r="D61" s="1">
        <v>7</v>
      </c>
      <c r="E61" s="8" t="s">
        <v>116</v>
      </c>
      <c r="F61" t="s">
        <v>147</v>
      </c>
    </row>
    <row r="62" spans="1:6" x14ac:dyDescent="0.3">
      <c r="A62" s="1">
        <v>1756</v>
      </c>
      <c r="B62" s="3">
        <v>1993</v>
      </c>
      <c r="C62" s="5">
        <v>2008</v>
      </c>
      <c r="D62" s="1">
        <v>5</v>
      </c>
      <c r="E62" s="8" t="s">
        <v>263</v>
      </c>
      <c r="F62" t="s">
        <v>147</v>
      </c>
    </row>
    <row r="63" spans="1:6" x14ac:dyDescent="0.3">
      <c r="A63" s="1">
        <v>1175</v>
      </c>
      <c r="B63" s="3">
        <v>1993</v>
      </c>
      <c r="C63" s="5">
        <v>2015</v>
      </c>
      <c r="D63" s="1">
        <v>9</v>
      </c>
      <c r="E63" s="8" t="s">
        <v>60</v>
      </c>
      <c r="F63" t="s">
        <v>147</v>
      </c>
    </row>
    <row r="64" spans="1:6" x14ac:dyDescent="0.3">
      <c r="A64" s="1">
        <v>2116</v>
      </c>
      <c r="B64" s="3">
        <v>1993</v>
      </c>
      <c r="C64" s="5">
        <v>2004</v>
      </c>
      <c r="D64" s="1">
        <v>3</v>
      </c>
      <c r="E64" s="8" t="s">
        <v>267</v>
      </c>
      <c r="F64" t="s">
        <v>147</v>
      </c>
    </row>
    <row r="65" spans="1:6" x14ac:dyDescent="0.3">
      <c r="A65" s="1">
        <v>2164</v>
      </c>
      <c r="B65" s="3">
        <v>1993</v>
      </c>
      <c r="C65" s="5">
        <v>2004</v>
      </c>
      <c r="D65" s="1">
        <v>3</v>
      </c>
      <c r="E65" s="8" t="s">
        <v>236</v>
      </c>
      <c r="F65" t="s">
        <v>147</v>
      </c>
    </row>
    <row r="66" spans="1:6" x14ac:dyDescent="0.3">
      <c r="A66" s="1">
        <v>2232</v>
      </c>
      <c r="B66" s="3">
        <v>1993</v>
      </c>
      <c r="C66" s="5">
        <v>1996</v>
      </c>
      <c r="D66" s="1">
        <v>2</v>
      </c>
      <c r="E66" s="8" t="s">
        <v>17</v>
      </c>
      <c r="F66" t="s">
        <v>147</v>
      </c>
    </row>
    <row r="67" spans="1:6" x14ac:dyDescent="0.3">
      <c r="A67" s="1">
        <v>1891</v>
      </c>
      <c r="B67" s="3">
        <v>1994</v>
      </c>
      <c r="C67" s="5">
        <v>2012</v>
      </c>
      <c r="D67" s="1">
        <v>5</v>
      </c>
      <c r="E67" s="8" t="s">
        <v>227</v>
      </c>
      <c r="F67" t="s">
        <v>147</v>
      </c>
    </row>
    <row r="68" spans="1:6" x14ac:dyDescent="0.3">
      <c r="A68" s="1">
        <v>1842</v>
      </c>
      <c r="B68" s="3">
        <v>1994</v>
      </c>
      <c r="C68" s="5">
        <v>2016</v>
      </c>
      <c r="D68" s="1">
        <v>3</v>
      </c>
      <c r="E68" s="12" t="s">
        <v>224</v>
      </c>
      <c r="F68" t="s">
        <v>147</v>
      </c>
    </row>
    <row r="69" spans="1:6" x14ac:dyDescent="0.3">
      <c r="A69" s="1">
        <v>2122</v>
      </c>
      <c r="B69" s="3">
        <v>1994</v>
      </c>
      <c r="C69" s="5">
        <v>1994</v>
      </c>
      <c r="D69" s="1">
        <v>1</v>
      </c>
      <c r="E69" s="8" t="s">
        <v>255</v>
      </c>
      <c r="F69" t="s">
        <v>147</v>
      </c>
    </row>
    <row r="70" spans="1:6" x14ac:dyDescent="0.3">
      <c r="A70" s="1">
        <v>2133</v>
      </c>
      <c r="B70" s="3">
        <v>1994</v>
      </c>
      <c r="C70" s="5">
        <v>2006</v>
      </c>
      <c r="D70" s="1">
        <v>3</v>
      </c>
      <c r="E70" s="8" t="s">
        <v>280</v>
      </c>
      <c r="F70" t="s">
        <v>147</v>
      </c>
    </row>
    <row r="71" spans="1:6" x14ac:dyDescent="0.3">
      <c r="A71" s="1">
        <v>2139</v>
      </c>
      <c r="B71" s="3">
        <v>1994</v>
      </c>
      <c r="C71" s="5">
        <v>2004</v>
      </c>
      <c r="D71" s="1">
        <v>2</v>
      </c>
      <c r="E71" s="8" t="s">
        <v>279</v>
      </c>
      <c r="F71" t="s">
        <v>147</v>
      </c>
    </row>
    <row r="72" spans="1:6" x14ac:dyDescent="0.3">
      <c r="A72" s="1">
        <v>2146</v>
      </c>
      <c r="B72" s="3">
        <v>1994</v>
      </c>
      <c r="C72" s="5">
        <v>1998</v>
      </c>
      <c r="D72" s="1">
        <v>2</v>
      </c>
      <c r="E72" s="8" t="s">
        <v>55</v>
      </c>
      <c r="F72" t="s">
        <v>147</v>
      </c>
    </row>
    <row r="73" spans="1:6" x14ac:dyDescent="0.3">
      <c r="A73" s="1">
        <v>2221</v>
      </c>
      <c r="B73" s="3">
        <v>1994</v>
      </c>
      <c r="C73" s="5">
        <v>1995</v>
      </c>
      <c r="D73" s="1">
        <v>2</v>
      </c>
      <c r="E73" s="8" t="s">
        <v>60</v>
      </c>
      <c r="F73" t="s">
        <v>147</v>
      </c>
    </row>
    <row r="74" spans="1:6" x14ac:dyDescent="0.3">
      <c r="A74" s="1">
        <v>2256</v>
      </c>
      <c r="B74" s="3">
        <v>1994</v>
      </c>
      <c r="C74" s="5">
        <v>2003</v>
      </c>
      <c r="D74" s="1">
        <v>3</v>
      </c>
      <c r="E74" s="8" t="s">
        <v>238</v>
      </c>
      <c r="F74" t="s">
        <v>147</v>
      </c>
    </row>
    <row r="75" spans="1:6" x14ac:dyDescent="0.3">
      <c r="A75" s="1">
        <v>1239</v>
      </c>
      <c r="B75" s="3">
        <v>1995</v>
      </c>
      <c r="C75" s="5">
        <v>2008</v>
      </c>
      <c r="D75" s="1">
        <v>2</v>
      </c>
      <c r="E75" s="8" t="s">
        <v>43</v>
      </c>
      <c r="F75" t="s">
        <v>147</v>
      </c>
    </row>
    <row r="76" spans="1:6" x14ac:dyDescent="0.3">
      <c r="A76" s="1">
        <v>1023</v>
      </c>
      <c r="B76" s="3">
        <v>1995</v>
      </c>
      <c r="C76" s="5">
        <v>2009</v>
      </c>
      <c r="D76" s="1">
        <v>3</v>
      </c>
      <c r="E76" s="8" t="s">
        <v>17</v>
      </c>
      <c r="F76" t="s">
        <v>147</v>
      </c>
    </row>
    <row r="77" spans="1:6" x14ac:dyDescent="0.3">
      <c r="A77" s="1">
        <v>1128</v>
      </c>
      <c r="B77" s="3">
        <v>1995</v>
      </c>
      <c r="C77" s="5">
        <v>2010</v>
      </c>
      <c r="D77" s="1">
        <v>2</v>
      </c>
      <c r="E77" s="8" t="s">
        <v>50</v>
      </c>
      <c r="F77" t="s">
        <v>147</v>
      </c>
    </row>
    <row r="78" spans="1:6" x14ac:dyDescent="0.3">
      <c r="A78" s="1">
        <v>1237</v>
      </c>
      <c r="B78" s="3">
        <v>1995</v>
      </c>
      <c r="C78" s="5">
        <v>2010</v>
      </c>
      <c r="D78" s="1">
        <v>6</v>
      </c>
      <c r="E78" s="8" t="s">
        <v>272</v>
      </c>
      <c r="F78" t="s">
        <v>147</v>
      </c>
    </row>
    <row r="79" spans="1:6" x14ac:dyDescent="0.3">
      <c r="A79" s="1">
        <v>1726</v>
      </c>
      <c r="B79" s="3">
        <v>1995</v>
      </c>
      <c r="C79" s="5">
        <v>2010</v>
      </c>
      <c r="D79" s="1">
        <v>5</v>
      </c>
      <c r="E79" s="8" t="s">
        <v>221</v>
      </c>
      <c r="F79" t="s">
        <v>147</v>
      </c>
    </row>
    <row r="80" spans="1:6" x14ac:dyDescent="0.3">
      <c r="A80" s="1">
        <v>1113</v>
      </c>
      <c r="B80" s="3">
        <v>1995</v>
      </c>
      <c r="C80" s="5">
        <v>2011</v>
      </c>
      <c r="D80" s="1">
        <v>5</v>
      </c>
      <c r="E80" s="8" t="s">
        <v>60</v>
      </c>
      <c r="F80" t="s">
        <v>147</v>
      </c>
    </row>
    <row r="81" spans="1:6" x14ac:dyDescent="0.3">
      <c r="A81" s="1">
        <v>1622</v>
      </c>
      <c r="B81" s="3">
        <v>1995</v>
      </c>
      <c r="C81" s="5">
        <v>2014</v>
      </c>
      <c r="D81" s="1">
        <v>3</v>
      </c>
      <c r="E81" s="8" t="s">
        <v>103</v>
      </c>
      <c r="F81" t="s">
        <v>147</v>
      </c>
    </row>
    <row r="82" spans="1:6" x14ac:dyDescent="0.3">
      <c r="A82" s="1">
        <v>2209</v>
      </c>
      <c r="B82" s="3">
        <v>1995</v>
      </c>
      <c r="C82" s="5">
        <v>1997</v>
      </c>
      <c r="D82" s="1">
        <v>2</v>
      </c>
      <c r="E82" s="8" t="s">
        <v>268</v>
      </c>
      <c r="F82" t="s">
        <v>147</v>
      </c>
    </row>
    <row r="83" spans="1:6" x14ac:dyDescent="0.3">
      <c r="A83" s="1">
        <v>1104</v>
      </c>
      <c r="B83" s="3">
        <v>1996</v>
      </c>
      <c r="C83" s="5">
        <v>2010</v>
      </c>
      <c r="D83" s="1">
        <v>4</v>
      </c>
      <c r="E83" s="8" t="s">
        <v>229</v>
      </c>
      <c r="F83" t="s">
        <v>147</v>
      </c>
    </row>
    <row r="84" spans="1:6" x14ac:dyDescent="0.3">
      <c r="A84" s="1">
        <v>1112</v>
      </c>
      <c r="B84" s="3">
        <v>1996</v>
      </c>
      <c r="C84" s="5">
        <v>2011</v>
      </c>
      <c r="D84" s="1">
        <v>2</v>
      </c>
      <c r="E84" s="8" t="s">
        <v>279</v>
      </c>
      <c r="F84" t="s">
        <v>147</v>
      </c>
    </row>
    <row r="85" spans="1:6" x14ac:dyDescent="0.3">
      <c r="A85" s="1">
        <v>1790</v>
      </c>
      <c r="B85" s="3">
        <v>1996</v>
      </c>
      <c r="C85" s="5">
        <v>2016</v>
      </c>
      <c r="D85" s="1">
        <v>3</v>
      </c>
      <c r="E85" s="8" t="s">
        <v>233</v>
      </c>
      <c r="F85" t="s">
        <v>147</v>
      </c>
    </row>
    <row r="86" spans="1:6" x14ac:dyDescent="0.3">
      <c r="A86" s="1">
        <v>2157</v>
      </c>
      <c r="B86" s="3">
        <v>1996</v>
      </c>
      <c r="C86" s="5">
        <v>1997</v>
      </c>
      <c r="D86" s="1">
        <v>2</v>
      </c>
      <c r="E86" s="8" t="s">
        <v>118</v>
      </c>
      <c r="F86" t="s">
        <v>147</v>
      </c>
    </row>
    <row r="87" spans="1:6" x14ac:dyDescent="0.3">
      <c r="A87" s="1">
        <v>2223</v>
      </c>
      <c r="B87" s="3">
        <v>1996</v>
      </c>
      <c r="C87" s="5">
        <v>1996</v>
      </c>
      <c r="D87" s="1">
        <v>1</v>
      </c>
      <c r="E87" s="8" t="s">
        <v>118</v>
      </c>
      <c r="F87" t="s">
        <v>147</v>
      </c>
    </row>
    <row r="88" spans="1:6" x14ac:dyDescent="0.3">
      <c r="A88" s="1">
        <v>2226</v>
      </c>
      <c r="B88" s="3">
        <v>1996</v>
      </c>
      <c r="C88" s="5">
        <v>1998</v>
      </c>
      <c r="D88" s="1">
        <v>2</v>
      </c>
      <c r="E88" s="8" t="s">
        <v>267</v>
      </c>
      <c r="F88" t="s">
        <v>147</v>
      </c>
    </row>
    <row r="89" spans="1:6" x14ac:dyDescent="0.3">
      <c r="A89" s="1">
        <v>2236</v>
      </c>
      <c r="B89" s="3">
        <v>1996</v>
      </c>
      <c r="C89" s="5">
        <v>2004</v>
      </c>
      <c r="D89" s="1">
        <v>2</v>
      </c>
      <c r="E89" s="8" t="s">
        <v>55</v>
      </c>
      <c r="F89" t="s">
        <v>147</v>
      </c>
    </row>
    <row r="90" spans="1:6" x14ac:dyDescent="0.3">
      <c r="A90" s="1">
        <v>2250</v>
      </c>
      <c r="B90" s="3">
        <v>1996</v>
      </c>
      <c r="C90" s="5">
        <v>1996</v>
      </c>
      <c r="D90" s="1">
        <v>1</v>
      </c>
      <c r="E90" s="8" t="s">
        <v>55</v>
      </c>
      <c r="F90" t="s">
        <v>147</v>
      </c>
    </row>
    <row r="91" spans="1:6" x14ac:dyDescent="0.3">
      <c r="A91" s="1">
        <v>2202</v>
      </c>
      <c r="B91" s="3">
        <v>1997</v>
      </c>
      <c r="C91" s="5">
        <v>1997</v>
      </c>
      <c r="D91" s="1">
        <v>2</v>
      </c>
      <c r="E91" s="8" t="s">
        <v>233</v>
      </c>
      <c r="F91" t="s">
        <v>147</v>
      </c>
    </row>
    <row r="92" spans="1:6" x14ac:dyDescent="0.3">
      <c r="A92" s="1">
        <v>1723</v>
      </c>
      <c r="B92" s="3">
        <v>1998</v>
      </c>
      <c r="C92" s="5">
        <v>2009</v>
      </c>
      <c r="D92" s="1">
        <v>2</v>
      </c>
      <c r="E92" s="8" t="s">
        <v>186</v>
      </c>
      <c r="F92" t="s">
        <v>147</v>
      </c>
    </row>
    <row r="93" spans="1:6" x14ac:dyDescent="0.3">
      <c r="A93" s="1">
        <v>1093</v>
      </c>
      <c r="B93" s="3">
        <v>1998</v>
      </c>
      <c r="C93" s="5">
        <v>2016</v>
      </c>
      <c r="D93" s="1">
        <v>6</v>
      </c>
      <c r="E93" s="8" t="s">
        <v>266</v>
      </c>
      <c r="F93" t="s">
        <v>147</v>
      </c>
    </row>
    <row r="94" spans="1:6" x14ac:dyDescent="0.3">
      <c r="A94" s="1">
        <v>2199</v>
      </c>
      <c r="B94" s="3">
        <v>1998</v>
      </c>
      <c r="C94" s="5">
        <v>2016</v>
      </c>
      <c r="D94" s="1">
        <v>2</v>
      </c>
      <c r="E94" s="8" t="s">
        <v>244</v>
      </c>
      <c r="F94" t="s">
        <v>147</v>
      </c>
    </row>
    <row r="95" spans="1:6" x14ac:dyDescent="0.3">
      <c r="A95" s="1">
        <v>1903</v>
      </c>
      <c r="B95" s="3">
        <v>2000</v>
      </c>
      <c r="C95" s="5">
        <v>2007</v>
      </c>
      <c r="D95" s="1">
        <v>3</v>
      </c>
      <c r="E95" s="8" t="s">
        <v>121</v>
      </c>
      <c r="F95" t="s">
        <v>147</v>
      </c>
    </row>
    <row r="96" spans="1:6" x14ac:dyDescent="0.3">
      <c r="A96" s="1">
        <v>1384</v>
      </c>
      <c r="B96" s="3">
        <v>2000</v>
      </c>
      <c r="C96" s="5">
        <v>2009</v>
      </c>
      <c r="D96" s="1">
        <v>4</v>
      </c>
      <c r="E96" s="8" t="s">
        <v>89</v>
      </c>
      <c r="F96" t="s">
        <v>147</v>
      </c>
    </row>
    <row r="97" spans="1:6" x14ac:dyDescent="0.3">
      <c r="A97" s="1">
        <v>2102</v>
      </c>
      <c r="B97" s="3">
        <v>2000</v>
      </c>
      <c r="C97" s="5">
        <v>2006</v>
      </c>
      <c r="D97" s="1">
        <v>6</v>
      </c>
      <c r="E97" s="8" t="s">
        <v>55</v>
      </c>
      <c r="F97" t="s">
        <v>147</v>
      </c>
    </row>
    <row r="98" spans="1:6" x14ac:dyDescent="0.3">
      <c r="A98" s="1">
        <v>2166</v>
      </c>
      <c r="B98" s="3">
        <v>2000</v>
      </c>
      <c r="C98" s="5">
        <v>2005</v>
      </c>
      <c r="D98" s="1">
        <v>2</v>
      </c>
      <c r="E98" s="8" t="s">
        <v>279</v>
      </c>
      <c r="F98" t="s">
        <v>147</v>
      </c>
    </row>
    <row r="99" spans="1:6" x14ac:dyDescent="0.3">
      <c r="A99" s="1">
        <v>2173</v>
      </c>
      <c r="B99" s="3">
        <v>2000</v>
      </c>
      <c r="C99" s="5">
        <v>2004</v>
      </c>
      <c r="D99" s="1">
        <v>3</v>
      </c>
      <c r="E99" s="8" t="s">
        <v>233</v>
      </c>
      <c r="F99" t="s">
        <v>147</v>
      </c>
    </row>
    <row r="100" spans="1:6" x14ac:dyDescent="0.3">
      <c r="A100" s="1">
        <v>2144</v>
      </c>
      <c r="B100" s="3">
        <v>2001</v>
      </c>
      <c r="C100" s="5">
        <v>2004</v>
      </c>
      <c r="D100" s="1">
        <v>2</v>
      </c>
      <c r="E100" s="8" t="s">
        <v>228</v>
      </c>
      <c r="F100" t="s">
        <v>147</v>
      </c>
    </row>
    <row r="101" spans="1:6" x14ac:dyDescent="0.3">
      <c r="A101" s="1">
        <v>1096</v>
      </c>
      <c r="B101" s="3">
        <v>2002</v>
      </c>
      <c r="C101" s="5">
        <v>2008</v>
      </c>
      <c r="D101" s="1">
        <v>6</v>
      </c>
      <c r="E101" s="8" t="s">
        <v>43</v>
      </c>
      <c r="F101" t="s">
        <v>147</v>
      </c>
    </row>
    <row r="102" spans="1:6" x14ac:dyDescent="0.3">
      <c r="A102" s="1">
        <v>1111</v>
      </c>
      <c r="B102" s="3">
        <v>2002</v>
      </c>
      <c r="C102" s="5">
        <v>2011</v>
      </c>
      <c r="D102" s="1">
        <v>3</v>
      </c>
      <c r="E102" s="8" t="s">
        <v>250</v>
      </c>
      <c r="F102" t="s">
        <v>147</v>
      </c>
    </row>
    <row r="103" spans="1:6" x14ac:dyDescent="0.3">
      <c r="A103" s="1">
        <v>2192</v>
      </c>
      <c r="B103" s="3">
        <v>2003</v>
      </c>
      <c r="C103" s="5">
        <v>2003</v>
      </c>
      <c r="D103" s="1">
        <v>1</v>
      </c>
      <c r="E103" s="8" t="s">
        <v>226</v>
      </c>
      <c r="F103" t="s">
        <v>147</v>
      </c>
    </row>
    <row r="104" spans="1:6" x14ac:dyDescent="0.3">
      <c r="A104" s="1">
        <v>1063</v>
      </c>
      <c r="B104" s="3">
        <v>2004</v>
      </c>
      <c r="C104" s="5">
        <v>2013</v>
      </c>
      <c r="D104" s="1">
        <v>3</v>
      </c>
      <c r="E104" s="8" t="s">
        <v>36</v>
      </c>
      <c r="F104" t="s">
        <v>147</v>
      </c>
    </row>
    <row r="105" spans="1:6" x14ac:dyDescent="0.3">
      <c r="A105" s="1">
        <v>2131</v>
      </c>
      <c r="B105" s="3">
        <v>2004</v>
      </c>
      <c r="C105" s="5">
        <v>2007</v>
      </c>
      <c r="D105" s="1">
        <v>2</v>
      </c>
      <c r="E105" s="8" t="s">
        <v>279</v>
      </c>
      <c r="F105" t="s">
        <v>147</v>
      </c>
    </row>
    <row r="106" spans="1:6" x14ac:dyDescent="0.3">
      <c r="A106" s="1">
        <v>2228</v>
      </c>
      <c r="B106" s="3">
        <v>2004</v>
      </c>
      <c r="C106" s="5">
        <v>2004</v>
      </c>
      <c r="D106" s="1">
        <v>1</v>
      </c>
      <c r="E106" s="8" t="s">
        <v>140</v>
      </c>
      <c r="F106" t="s">
        <v>147</v>
      </c>
    </row>
    <row r="107" spans="1:6" x14ac:dyDescent="0.3">
      <c r="A107" s="1">
        <v>1704</v>
      </c>
      <c r="B107" s="3">
        <v>2006</v>
      </c>
      <c r="C107" s="5">
        <v>2008</v>
      </c>
      <c r="D107" s="1">
        <v>2</v>
      </c>
      <c r="E107" s="8" t="s">
        <v>227</v>
      </c>
      <c r="F107" t="s">
        <v>147</v>
      </c>
    </row>
    <row r="108" spans="1:6" x14ac:dyDescent="0.3">
      <c r="A108" s="1">
        <v>2176</v>
      </c>
      <c r="B108" s="3">
        <v>2006</v>
      </c>
      <c r="C108" s="5">
        <v>2006</v>
      </c>
      <c r="D108" s="1">
        <v>2</v>
      </c>
      <c r="E108" s="8" t="s">
        <v>137</v>
      </c>
      <c r="F108" t="s">
        <v>147</v>
      </c>
    </row>
    <row r="109" spans="1:6" x14ac:dyDescent="0.3">
      <c r="A109" s="1">
        <v>1213</v>
      </c>
      <c r="B109" s="3">
        <v>2007</v>
      </c>
      <c r="C109" s="5">
        <v>2007</v>
      </c>
      <c r="D109" s="1">
        <v>1</v>
      </c>
      <c r="E109" s="8" t="s">
        <v>170</v>
      </c>
      <c r="F109" t="s">
        <v>147</v>
      </c>
    </row>
    <row r="110" spans="1:6" x14ac:dyDescent="0.3">
      <c r="A110" s="1">
        <v>1491</v>
      </c>
      <c r="B110" s="3">
        <v>2007</v>
      </c>
      <c r="C110" s="5">
        <v>2007</v>
      </c>
      <c r="D110" s="1">
        <v>1</v>
      </c>
      <c r="E110" s="8" t="s">
        <v>185</v>
      </c>
      <c r="F110" t="s">
        <v>147</v>
      </c>
    </row>
    <row r="111" spans="1:6" x14ac:dyDescent="0.3">
      <c r="A111" s="1">
        <v>1731</v>
      </c>
      <c r="B111" s="3">
        <v>2007</v>
      </c>
      <c r="C111" s="5">
        <v>2007</v>
      </c>
      <c r="D111" s="1">
        <v>1</v>
      </c>
      <c r="E111" s="8" t="s">
        <v>177</v>
      </c>
      <c r="F111" t="s">
        <v>147</v>
      </c>
    </row>
    <row r="112" spans="1:6" x14ac:dyDescent="0.3">
      <c r="A112" s="1">
        <v>1827</v>
      </c>
      <c r="B112" s="3">
        <v>2007</v>
      </c>
      <c r="C112" s="5">
        <v>2007</v>
      </c>
      <c r="D112" s="1">
        <v>4</v>
      </c>
      <c r="E112" s="8" t="s">
        <v>89</v>
      </c>
      <c r="F112" t="s">
        <v>147</v>
      </c>
    </row>
    <row r="113" spans="1:6" x14ac:dyDescent="0.3">
      <c r="A113" s="1">
        <v>1828</v>
      </c>
      <c r="B113" s="3">
        <v>2007</v>
      </c>
      <c r="C113" s="5">
        <v>2007</v>
      </c>
      <c r="D113" s="1">
        <v>1</v>
      </c>
      <c r="E113" s="8" t="s">
        <v>183</v>
      </c>
      <c r="F113" t="s">
        <v>147</v>
      </c>
    </row>
    <row r="114" spans="1:6" x14ac:dyDescent="0.3">
      <c r="A114" s="1">
        <v>1849</v>
      </c>
      <c r="B114" s="3">
        <v>2007</v>
      </c>
      <c r="C114" s="5">
        <v>2007</v>
      </c>
      <c r="D114" s="1">
        <v>1</v>
      </c>
      <c r="E114" s="8" t="s">
        <v>188</v>
      </c>
      <c r="F114" t="s">
        <v>147</v>
      </c>
    </row>
    <row r="115" spans="1:6" x14ac:dyDescent="0.3">
      <c r="A115" s="1">
        <v>1850</v>
      </c>
      <c r="B115" s="3">
        <v>2007</v>
      </c>
      <c r="C115" s="5">
        <v>2007</v>
      </c>
      <c r="D115" s="1">
        <v>1</v>
      </c>
      <c r="E115" s="8" t="s">
        <v>218</v>
      </c>
      <c r="F115" t="s">
        <v>147</v>
      </c>
    </row>
    <row r="116" spans="1:6" x14ac:dyDescent="0.3">
      <c r="A116" s="1">
        <v>1878</v>
      </c>
      <c r="B116" s="3">
        <v>2007</v>
      </c>
      <c r="C116" s="5">
        <v>2007</v>
      </c>
      <c r="D116" s="1">
        <v>1</v>
      </c>
      <c r="E116" s="8" t="s">
        <v>55</v>
      </c>
      <c r="F116" t="s">
        <v>147</v>
      </c>
    </row>
    <row r="117" spans="1:6" x14ac:dyDescent="0.3">
      <c r="A117" s="1">
        <v>1901</v>
      </c>
      <c r="B117" s="3">
        <v>2007</v>
      </c>
      <c r="C117" s="5">
        <v>2007</v>
      </c>
      <c r="D117" s="1">
        <v>1</v>
      </c>
      <c r="E117" s="8" t="s">
        <v>120</v>
      </c>
      <c r="F117" t="s">
        <v>147</v>
      </c>
    </row>
    <row r="118" spans="1:6" x14ac:dyDescent="0.3">
      <c r="A118" s="1">
        <v>1902</v>
      </c>
      <c r="B118" s="3">
        <v>2007</v>
      </c>
      <c r="C118" s="5">
        <v>2007</v>
      </c>
      <c r="D118" s="1">
        <v>1</v>
      </c>
      <c r="E118" s="8" t="s">
        <v>198</v>
      </c>
      <c r="F118" t="s">
        <v>147</v>
      </c>
    </row>
    <row r="119" spans="1:6" x14ac:dyDescent="0.3">
      <c r="A119" s="1">
        <v>1938</v>
      </c>
      <c r="B119" s="3">
        <v>2007</v>
      </c>
      <c r="C119" s="5">
        <v>2007</v>
      </c>
      <c r="D119" s="1">
        <v>1</v>
      </c>
      <c r="E119" s="8" t="s">
        <v>269</v>
      </c>
      <c r="F119" t="s">
        <v>147</v>
      </c>
    </row>
    <row r="120" spans="1:6" x14ac:dyDescent="0.3">
      <c r="A120" s="1">
        <v>1942</v>
      </c>
      <c r="B120" s="3">
        <v>2007</v>
      </c>
      <c r="C120" s="5">
        <v>2007</v>
      </c>
      <c r="D120" s="1">
        <v>1</v>
      </c>
      <c r="E120" s="8" t="s">
        <v>103</v>
      </c>
      <c r="F120" t="s">
        <v>147</v>
      </c>
    </row>
    <row r="121" spans="1:6" x14ac:dyDescent="0.3">
      <c r="A121" s="1">
        <v>1948</v>
      </c>
      <c r="B121" s="3">
        <v>2007</v>
      </c>
      <c r="C121" s="5">
        <v>2007</v>
      </c>
      <c r="D121" s="1">
        <v>1</v>
      </c>
      <c r="E121" s="8" t="s">
        <v>188</v>
      </c>
      <c r="F121" t="s">
        <v>147</v>
      </c>
    </row>
    <row r="122" spans="1:6" x14ac:dyDescent="0.3">
      <c r="A122" s="1">
        <v>1954</v>
      </c>
      <c r="B122" s="3">
        <v>2007</v>
      </c>
      <c r="C122" s="5">
        <v>2007</v>
      </c>
      <c r="D122" s="1">
        <v>1</v>
      </c>
      <c r="E122" s="8" t="s">
        <v>252</v>
      </c>
      <c r="F122" t="s">
        <v>147</v>
      </c>
    </row>
    <row r="123" spans="1:6" x14ac:dyDescent="0.3">
      <c r="A123" s="1">
        <v>1959</v>
      </c>
      <c r="B123" s="3">
        <v>2007</v>
      </c>
      <c r="C123" s="5">
        <v>2007</v>
      </c>
      <c r="D123" s="1">
        <v>1</v>
      </c>
      <c r="E123" s="8" t="s">
        <v>82</v>
      </c>
      <c r="F123" t="s">
        <v>147</v>
      </c>
    </row>
    <row r="124" spans="1:6" x14ac:dyDescent="0.3">
      <c r="A124" s="1">
        <v>2181</v>
      </c>
      <c r="B124" s="3">
        <v>2007</v>
      </c>
      <c r="C124" s="5">
        <v>2007</v>
      </c>
      <c r="D124" s="1">
        <v>2</v>
      </c>
      <c r="E124" s="8" t="s">
        <v>138</v>
      </c>
      <c r="F124" t="s">
        <v>147</v>
      </c>
    </row>
    <row r="125" spans="1:6" x14ac:dyDescent="0.3">
      <c r="A125" s="1">
        <v>1014</v>
      </c>
      <c r="B125" s="3">
        <v>2007</v>
      </c>
      <c r="C125" s="5">
        <v>2008</v>
      </c>
      <c r="D125" s="1">
        <v>2</v>
      </c>
      <c r="E125" s="8" t="s">
        <v>271</v>
      </c>
      <c r="F125" t="s">
        <v>147</v>
      </c>
    </row>
    <row r="126" spans="1:6" x14ac:dyDescent="0.3">
      <c r="A126" s="1">
        <v>1082</v>
      </c>
      <c r="B126" s="3">
        <v>2007</v>
      </c>
      <c r="C126" s="5">
        <v>2009</v>
      </c>
      <c r="D126" s="1">
        <v>2</v>
      </c>
      <c r="E126" s="8" t="s">
        <v>155</v>
      </c>
      <c r="F126" t="s">
        <v>147</v>
      </c>
    </row>
    <row r="127" spans="1:6" x14ac:dyDescent="0.3">
      <c r="A127" s="1">
        <v>1290</v>
      </c>
      <c r="B127" s="3">
        <v>2007</v>
      </c>
      <c r="C127" s="5">
        <v>2010</v>
      </c>
      <c r="D127" s="1">
        <v>5</v>
      </c>
      <c r="E127" s="8" t="s">
        <v>43</v>
      </c>
      <c r="F127" t="s">
        <v>147</v>
      </c>
    </row>
    <row r="128" spans="1:6" x14ac:dyDescent="0.3">
      <c r="A128" s="1">
        <v>1145</v>
      </c>
      <c r="B128" s="3">
        <v>2007</v>
      </c>
      <c r="C128" s="5">
        <v>2011</v>
      </c>
      <c r="D128" s="1">
        <v>6</v>
      </c>
      <c r="E128" s="8" t="s">
        <v>51</v>
      </c>
      <c r="F128" t="s">
        <v>147</v>
      </c>
    </row>
    <row r="129" spans="1:6" x14ac:dyDescent="0.3">
      <c r="A129" s="1">
        <v>1146</v>
      </c>
      <c r="B129" s="3">
        <v>2007</v>
      </c>
      <c r="C129" s="5">
        <v>2011</v>
      </c>
      <c r="D129" s="1">
        <v>2</v>
      </c>
      <c r="E129" s="8" t="s">
        <v>55</v>
      </c>
      <c r="F129" t="s">
        <v>147</v>
      </c>
    </row>
    <row r="130" spans="1:6" x14ac:dyDescent="0.3">
      <c r="A130" s="1">
        <v>1436</v>
      </c>
      <c r="B130" s="3">
        <v>2007</v>
      </c>
      <c r="C130" s="5">
        <v>2011</v>
      </c>
      <c r="D130" s="1">
        <v>3</v>
      </c>
      <c r="E130" s="8" t="s">
        <v>174</v>
      </c>
      <c r="F130" t="s">
        <v>147</v>
      </c>
    </row>
    <row r="131" spans="1:6" x14ac:dyDescent="0.3">
      <c r="A131" s="1">
        <v>1462</v>
      </c>
      <c r="B131" s="3">
        <v>2007</v>
      </c>
      <c r="C131" s="5">
        <v>2011</v>
      </c>
      <c r="D131" s="1">
        <v>3</v>
      </c>
      <c r="E131" s="8" t="s">
        <v>25</v>
      </c>
      <c r="F131" t="s">
        <v>147</v>
      </c>
    </row>
    <row r="132" spans="1:6" x14ac:dyDescent="0.3">
      <c r="A132" s="1">
        <v>1120</v>
      </c>
      <c r="B132" s="3">
        <v>2007</v>
      </c>
      <c r="C132" s="5">
        <v>2013</v>
      </c>
      <c r="D132" s="1">
        <v>8</v>
      </c>
      <c r="E132" s="8" t="s">
        <v>176</v>
      </c>
      <c r="F132" t="s">
        <v>147</v>
      </c>
    </row>
    <row r="133" spans="1:6" x14ac:dyDescent="0.3">
      <c r="A133" s="1">
        <v>1129</v>
      </c>
      <c r="B133" s="3">
        <v>2007</v>
      </c>
      <c r="C133" s="5">
        <v>2013</v>
      </c>
      <c r="D133" s="1">
        <v>10</v>
      </c>
      <c r="E133" s="8" t="s">
        <v>51</v>
      </c>
      <c r="F133" t="s">
        <v>147</v>
      </c>
    </row>
    <row r="134" spans="1:6" x14ac:dyDescent="0.3">
      <c r="A134" s="1">
        <v>1246</v>
      </c>
      <c r="B134" s="3">
        <v>2007</v>
      </c>
      <c r="C134" s="5">
        <v>2014</v>
      </c>
      <c r="D134" s="1">
        <v>4</v>
      </c>
      <c r="E134" s="8" t="s">
        <v>55</v>
      </c>
      <c r="F134" t="s">
        <v>147</v>
      </c>
    </row>
    <row r="135" spans="1:6" x14ac:dyDescent="0.3">
      <c r="A135" s="1">
        <v>1053</v>
      </c>
      <c r="B135" s="3">
        <v>2007</v>
      </c>
      <c r="C135" s="5">
        <v>2016</v>
      </c>
      <c r="D135" s="1">
        <v>17</v>
      </c>
      <c r="E135" s="8" t="s">
        <v>229</v>
      </c>
      <c r="F135" t="s">
        <v>147</v>
      </c>
    </row>
    <row r="136" spans="1:6" x14ac:dyDescent="0.3">
      <c r="A136" s="1">
        <v>1217</v>
      </c>
      <c r="B136" s="3">
        <v>2007</v>
      </c>
      <c r="C136" s="5">
        <v>2017</v>
      </c>
      <c r="D136" s="1">
        <v>5</v>
      </c>
      <c r="E136" s="8" t="s">
        <v>158</v>
      </c>
      <c r="F136" t="s">
        <v>147</v>
      </c>
    </row>
    <row r="137" spans="1:6" x14ac:dyDescent="0.3">
      <c r="A137" s="1">
        <v>1292</v>
      </c>
      <c r="B137" s="3">
        <v>2007</v>
      </c>
      <c r="C137" s="5">
        <v>2017</v>
      </c>
      <c r="D137" s="1">
        <v>4</v>
      </c>
      <c r="E137" s="8" t="s">
        <v>155</v>
      </c>
      <c r="F137" t="s">
        <v>147</v>
      </c>
    </row>
    <row r="138" spans="1:6" x14ac:dyDescent="0.3">
      <c r="A138" s="1">
        <v>1876</v>
      </c>
      <c r="B138" s="3">
        <v>2007</v>
      </c>
      <c r="C138" s="5">
        <v>2017</v>
      </c>
      <c r="D138" s="1">
        <v>2</v>
      </c>
      <c r="E138" s="8" t="s">
        <v>55</v>
      </c>
      <c r="F138" t="s">
        <v>147</v>
      </c>
    </row>
    <row r="139" spans="1:6" x14ac:dyDescent="0.3">
      <c r="A139" s="1">
        <v>1060</v>
      </c>
      <c r="B139" s="3">
        <v>2008</v>
      </c>
      <c r="C139" s="5">
        <v>2008</v>
      </c>
      <c r="D139" s="1">
        <v>1</v>
      </c>
      <c r="E139" s="8" t="s">
        <v>164</v>
      </c>
      <c r="F139" t="s">
        <v>147</v>
      </c>
    </row>
    <row r="140" spans="1:6" x14ac:dyDescent="0.3">
      <c r="A140" s="1">
        <v>1099</v>
      </c>
      <c r="B140" s="3">
        <v>2008</v>
      </c>
      <c r="C140" s="5">
        <v>2008</v>
      </c>
      <c r="D140" s="1">
        <v>1</v>
      </c>
      <c r="E140" s="8" t="s">
        <v>230</v>
      </c>
      <c r="F140" t="s">
        <v>147</v>
      </c>
    </row>
    <row r="141" spans="1:6" x14ac:dyDescent="0.3">
      <c r="A141" s="1">
        <v>1205</v>
      </c>
      <c r="B141" s="3">
        <v>2008</v>
      </c>
      <c r="C141" s="5">
        <v>2008</v>
      </c>
      <c r="D141" s="1">
        <v>2</v>
      </c>
      <c r="E141" t="s">
        <v>175</v>
      </c>
      <c r="F141" t="s">
        <v>147</v>
      </c>
    </row>
    <row r="142" spans="1:6" x14ac:dyDescent="0.3">
      <c r="A142" s="1">
        <v>1291</v>
      </c>
      <c r="B142" s="3">
        <v>2008</v>
      </c>
      <c r="C142" s="5">
        <v>2008</v>
      </c>
      <c r="D142" s="1">
        <v>1</v>
      </c>
      <c r="E142" s="8" t="s">
        <v>75</v>
      </c>
      <c r="F142" t="s">
        <v>147</v>
      </c>
    </row>
    <row r="143" spans="1:6" x14ac:dyDescent="0.3">
      <c r="A143" s="1">
        <v>1399</v>
      </c>
      <c r="B143" s="3">
        <v>2008</v>
      </c>
      <c r="C143" s="5">
        <v>2008</v>
      </c>
      <c r="D143" s="1">
        <v>1</v>
      </c>
      <c r="E143" s="8" t="s">
        <v>91</v>
      </c>
      <c r="F143" t="s">
        <v>147</v>
      </c>
    </row>
    <row r="144" spans="1:6" x14ac:dyDescent="0.3">
      <c r="A144" s="1">
        <v>1549</v>
      </c>
      <c r="B144" s="3">
        <v>2008</v>
      </c>
      <c r="C144" s="5">
        <v>2008</v>
      </c>
      <c r="D144" s="1">
        <v>1</v>
      </c>
      <c r="E144" s="8" t="s">
        <v>208</v>
      </c>
      <c r="F144" t="s">
        <v>147</v>
      </c>
    </row>
    <row r="145" spans="1:6" x14ac:dyDescent="0.3">
      <c r="A145" s="1">
        <v>1007</v>
      </c>
      <c r="B145" s="3">
        <v>2008</v>
      </c>
      <c r="C145" s="5">
        <v>2009</v>
      </c>
      <c r="D145" s="1">
        <v>2</v>
      </c>
      <c r="E145" s="8" t="s">
        <v>209</v>
      </c>
      <c r="F145" t="s">
        <v>147</v>
      </c>
    </row>
    <row r="146" spans="1:6" x14ac:dyDescent="0.3">
      <c r="A146" s="1">
        <v>1040</v>
      </c>
      <c r="B146" s="3">
        <v>2008</v>
      </c>
      <c r="C146" s="5">
        <v>2009</v>
      </c>
      <c r="D146" s="1">
        <v>2</v>
      </c>
      <c r="E146" s="8" t="s">
        <v>27</v>
      </c>
      <c r="F146" t="s">
        <v>147</v>
      </c>
    </row>
    <row r="147" spans="1:6" x14ac:dyDescent="0.3">
      <c r="A147" s="1">
        <v>1469</v>
      </c>
      <c r="B147" s="3">
        <v>2008</v>
      </c>
      <c r="C147" s="5">
        <v>2009</v>
      </c>
      <c r="D147" s="1">
        <v>2</v>
      </c>
      <c r="E147" s="8" t="s">
        <v>279</v>
      </c>
      <c r="F147" t="s">
        <v>147</v>
      </c>
    </row>
    <row r="148" spans="1:6" x14ac:dyDescent="0.3">
      <c r="A148" s="1">
        <v>1036</v>
      </c>
      <c r="B148" s="3">
        <v>2008</v>
      </c>
      <c r="C148" s="5">
        <v>2010</v>
      </c>
      <c r="D148" s="1">
        <v>3</v>
      </c>
      <c r="E148" s="8" t="s">
        <v>25</v>
      </c>
      <c r="F148" t="s">
        <v>147</v>
      </c>
    </row>
    <row r="149" spans="1:6" x14ac:dyDescent="0.3">
      <c r="A149" s="1">
        <v>1515</v>
      </c>
      <c r="B149" s="3">
        <v>2008</v>
      </c>
      <c r="C149" s="5">
        <v>2010</v>
      </c>
      <c r="D149" s="1">
        <v>3</v>
      </c>
      <c r="E149" s="8" t="s">
        <v>279</v>
      </c>
      <c r="F149" t="s">
        <v>147</v>
      </c>
    </row>
    <row r="150" spans="1:6" x14ac:dyDescent="0.3">
      <c r="A150" s="1">
        <v>1569</v>
      </c>
      <c r="B150" s="3">
        <v>2008</v>
      </c>
      <c r="C150" s="5">
        <v>2010</v>
      </c>
      <c r="D150" s="1">
        <v>2</v>
      </c>
      <c r="E150" s="8" t="s">
        <v>277</v>
      </c>
      <c r="F150" t="s">
        <v>147</v>
      </c>
    </row>
    <row r="151" spans="1:6" x14ac:dyDescent="0.3">
      <c r="A151" s="1">
        <v>1545</v>
      </c>
      <c r="B151" s="3">
        <v>2008</v>
      </c>
      <c r="C151" s="5">
        <v>2012</v>
      </c>
      <c r="D151" s="1">
        <v>7</v>
      </c>
      <c r="E151" s="8" t="s">
        <v>99</v>
      </c>
      <c r="F151" t="s">
        <v>147</v>
      </c>
    </row>
    <row r="152" spans="1:6" x14ac:dyDescent="0.3">
      <c r="A152" s="1">
        <v>1047</v>
      </c>
      <c r="B152" s="3">
        <v>2008</v>
      </c>
      <c r="C152" s="5">
        <v>2013</v>
      </c>
      <c r="D152" s="1">
        <v>4</v>
      </c>
      <c r="E152" s="8" t="s">
        <v>29</v>
      </c>
      <c r="F152" t="s">
        <v>147</v>
      </c>
    </row>
    <row r="153" spans="1:6" x14ac:dyDescent="0.3">
      <c r="A153" s="1">
        <v>1503</v>
      </c>
      <c r="B153" s="3">
        <v>2008</v>
      </c>
      <c r="C153" s="5">
        <v>2013</v>
      </c>
      <c r="D153" s="1">
        <v>4</v>
      </c>
      <c r="E153" s="8" t="s">
        <v>233</v>
      </c>
      <c r="F153" t="s">
        <v>147</v>
      </c>
    </row>
    <row r="154" spans="1:6" x14ac:dyDescent="0.3">
      <c r="A154" s="1">
        <v>1501</v>
      </c>
      <c r="B154" s="3">
        <v>2008</v>
      </c>
      <c r="C154" s="5">
        <v>2014</v>
      </c>
      <c r="D154" s="1">
        <v>7</v>
      </c>
      <c r="E154" s="8" t="s">
        <v>229</v>
      </c>
      <c r="F154" t="s">
        <v>147</v>
      </c>
    </row>
    <row r="155" spans="1:6" x14ac:dyDescent="0.3">
      <c r="A155" s="1">
        <v>1720</v>
      </c>
      <c r="B155" s="3">
        <v>2008</v>
      </c>
      <c r="C155" s="5">
        <v>2017</v>
      </c>
      <c r="D155" s="1">
        <v>5</v>
      </c>
      <c r="E155" s="8" t="s">
        <v>155</v>
      </c>
      <c r="F155" t="s">
        <v>147</v>
      </c>
    </row>
    <row r="156" spans="1:6" x14ac:dyDescent="0.3">
      <c r="A156" s="1">
        <v>1098</v>
      </c>
      <c r="B156" s="3">
        <v>2009</v>
      </c>
      <c r="C156" s="5">
        <v>2009</v>
      </c>
      <c r="D156" s="1">
        <v>2</v>
      </c>
      <c r="E156" s="8" t="s">
        <v>45</v>
      </c>
      <c r="F156" t="s">
        <v>147</v>
      </c>
    </row>
    <row r="157" spans="1:6" x14ac:dyDescent="0.3">
      <c r="A157" s="1">
        <v>1238</v>
      </c>
      <c r="B157" s="3">
        <v>2009</v>
      </c>
      <c r="C157" s="5">
        <v>2009</v>
      </c>
      <c r="D157" s="1">
        <v>1</v>
      </c>
      <c r="E157" s="8" t="s">
        <v>164</v>
      </c>
      <c r="F157" t="s">
        <v>147</v>
      </c>
    </row>
    <row r="158" spans="1:6" x14ac:dyDescent="0.3">
      <c r="A158" s="1">
        <v>1327</v>
      </c>
      <c r="B158" s="3">
        <v>2009</v>
      </c>
      <c r="C158" s="5">
        <v>2009</v>
      </c>
      <c r="D158" s="1">
        <v>2</v>
      </c>
      <c r="E158" s="8" t="s">
        <v>159</v>
      </c>
      <c r="F158" t="s">
        <v>147</v>
      </c>
    </row>
    <row r="159" spans="1:6" x14ac:dyDescent="0.3">
      <c r="A159" s="1">
        <v>1336</v>
      </c>
      <c r="B159" s="3">
        <v>2009</v>
      </c>
      <c r="C159" s="5">
        <v>2009</v>
      </c>
      <c r="D159" s="1">
        <v>1</v>
      </c>
      <c r="E159" s="8" t="s">
        <v>83</v>
      </c>
      <c r="F159" t="s">
        <v>147</v>
      </c>
    </row>
    <row r="160" spans="1:6" x14ac:dyDescent="0.3">
      <c r="A160" s="1">
        <v>1474</v>
      </c>
      <c r="B160" s="3">
        <v>2009</v>
      </c>
      <c r="C160" s="5">
        <v>2009</v>
      </c>
      <c r="D160" s="1">
        <v>1</v>
      </c>
      <c r="E160" s="8" t="s">
        <v>45</v>
      </c>
      <c r="F160" t="s">
        <v>147</v>
      </c>
    </row>
    <row r="161" spans="1:6" x14ac:dyDescent="0.3">
      <c r="A161" s="1">
        <v>1486</v>
      </c>
      <c r="B161" s="3">
        <v>2009</v>
      </c>
      <c r="C161" s="5">
        <v>2009</v>
      </c>
      <c r="D161" s="1">
        <v>1</v>
      </c>
      <c r="E161" s="8" t="s">
        <v>205</v>
      </c>
      <c r="F161" t="s">
        <v>147</v>
      </c>
    </row>
    <row r="162" spans="1:6" x14ac:dyDescent="0.3">
      <c r="A162" s="1">
        <v>1615</v>
      </c>
      <c r="B162" s="3">
        <v>2009</v>
      </c>
      <c r="C162" s="5">
        <v>2009</v>
      </c>
      <c r="D162" s="1">
        <v>1</v>
      </c>
      <c r="E162" s="8" t="s">
        <v>156</v>
      </c>
      <c r="F162" t="s">
        <v>147</v>
      </c>
    </row>
    <row r="163" spans="1:6" x14ac:dyDescent="0.3">
      <c r="A163" s="1">
        <v>1681</v>
      </c>
      <c r="B163" s="3">
        <v>2009</v>
      </c>
      <c r="C163" s="5">
        <v>2009</v>
      </c>
      <c r="D163" s="1">
        <v>1</v>
      </c>
      <c r="E163" s="8" t="s">
        <v>217</v>
      </c>
      <c r="F163" t="s">
        <v>147</v>
      </c>
    </row>
    <row r="164" spans="1:6" x14ac:dyDescent="0.3">
      <c r="A164" s="1">
        <v>1703</v>
      </c>
      <c r="B164" s="3">
        <v>2009</v>
      </c>
      <c r="C164" s="5">
        <v>2009</v>
      </c>
      <c r="D164" s="1">
        <v>1</v>
      </c>
      <c r="E164" s="8" t="s">
        <v>225</v>
      </c>
      <c r="F164" t="s">
        <v>147</v>
      </c>
    </row>
    <row r="165" spans="1:6" x14ac:dyDescent="0.3">
      <c r="A165" s="1">
        <v>1758</v>
      </c>
      <c r="B165" s="3">
        <v>2009</v>
      </c>
      <c r="C165" s="5">
        <v>2009</v>
      </c>
      <c r="D165" s="1">
        <v>1</v>
      </c>
      <c r="E165" s="8" t="s">
        <v>264</v>
      </c>
      <c r="F165" t="s">
        <v>147</v>
      </c>
    </row>
    <row r="166" spans="1:6" x14ac:dyDescent="0.3">
      <c r="A166" s="1">
        <v>1831</v>
      </c>
      <c r="B166" s="3">
        <v>2009</v>
      </c>
      <c r="C166" s="5">
        <v>2009</v>
      </c>
      <c r="D166" s="1">
        <v>1</v>
      </c>
      <c r="E166" s="8" t="s">
        <v>165</v>
      </c>
      <c r="F166" t="s">
        <v>147</v>
      </c>
    </row>
    <row r="167" spans="1:6" x14ac:dyDescent="0.3">
      <c r="A167" s="1">
        <v>1194</v>
      </c>
      <c r="B167" s="3">
        <v>2009</v>
      </c>
      <c r="C167" s="5">
        <v>2010</v>
      </c>
      <c r="D167" s="1">
        <v>2</v>
      </c>
      <c r="E167" s="8" t="s">
        <v>197</v>
      </c>
      <c r="F167" t="s">
        <v>147</v>
      </c>
    </row>
    <row r="168" spans="1:6" x14ac:dyDescent="0.3">
      <c r="A168" s="1">
        <v>1530</v>
      </c>
      <c r="B168" s="3">
        <v>2009</v>
      </c>
      <c r="C168" s="5">
        <v>2010</v>
      </c>
      <c r="D168" s="1">
        <v>2</v>
      </c>
      <c r="E168" s="8" t="s">
        <v>99</v>
      </c>
      <c r="F168" t="s">
        <v>147</v>
      </c>
    </row>
    <row r="169" spans="1:6" x14ac:dyDescent="0.3">
      <c r="A169" s="1">
        <v>1702</v>
      </c>
      <c r="B169" s="3">
        <v>2009</v>
      </c>
      <c r="C169" s="5">
        <v>2011</v>
      </c>
      <c r="D169" s="1">
        <v>3</v>
      </c>
      <c r="E169" s="8" t="s">
        <v>225</v>
      </c>
      <c r="F169" t="s">
        <v>147</v>
      </c>
    </row>
    <row r="170" spans="1:6" x14ac:dyDescent="0.3">
      <c r="A170" s="1">
        <v>1485</v>
      </c>
      <c r="B170" s="3">
        <v>2009</v>
      </c>
      <c r="C170" s="5">
        <v>2013</v>
      </c>
      <c r="D170" s="1">
        <v>3</v>
      </c>
      <c r="E170" s="8" t="s">
        <v>157</v>
      </c>
      <c r="F170" t="s">
        <v>147</v>
      </c>
    </row>
    <row r="171" spans="1:6" x14ac:dyDescent="0.3">
      <c r="A171" s="1">
        <v>1762</v>
      </c>
      <c r="B171" s="3">
        <v>2009</v>
      </c>
      <c r="C171" s="5">
        <v>2014</v>
      </c>
      <c r="D171" s="1">
        <v>4</v>
      </c>
      <c r="E171" s="8" t="s">
        <v>173</v>
      </c>
      <c r="F171" t="s">
        <v>147</v>
      </c>
    </row>
    <row r="172" spans="1:6" x14ac:dyDescent="0.3">
      <c r="A172" s="1">
        <v>1326</v>
      </c>
      <c r="B172" s="3">
        <v>2009</v>
      </c>
      <c r="C172" s="5">
        <v>2017</v>
      </c>
      <c r="D172" s="1">
        <v>7</v>
      </c>
      <c r="E172" s="8" t="s">
        <v>187</v>
      </c>
      <c r="F172" t="s">
        <v>147</v>
      </c>
    </row>
    <row r="173" spans="1:6" x14ac:dyDescent="0.3">
      <c r="A173" s="1">
        <v>1165</v>
      </c>
      <c r="B173" s="3">
        <v>2010</v>
      </c>
      <c r="C173" s="5">
        <v>2010</v>
      </c>
      <c r="D173" s="1">
        <v>1</v>
      </c>
      <c r="E173" s="8" t="s">
        <v>201</v>
      </c>
      <c r="F173" t="s">
        <v>147</v>
      </c>
    </row>
    <row r="174" spans="1:6" x14ac:dyDescent="0.3">
      <c r="A174" s="1">
        <v>1454</v>
      </c>
      <c r="B174" s="3">
        <v>2010</v>
      </c>
      <c r="C174" s="5">
        <v>2010</v>
      </c>
      <c r="D174" s="1">
        <v>1</v>
      </c>
      <c r="E174" s="8" t="s">
        <v>157</v>
      </c>
      <c r="F174" t="s">
        <v>147</v>
      </c>
    </row>
    <row r="175" spans="1:6" x14ac:dyDescent="0.3">
      <c r="A175" s="1">
        <v>1823</v>
      </c>
      <c r="B175" s="3">
        <v>2010</v>
      </c>
      <c r="C175" s="5">
        <v>2010</v>
      </c>
      <c r="D175" s="1">
        <v>1</v>
      </c>
      <c r="E175" s="8" t="s">
        <v>55</v>
      </c>
      <c r="F175" t="s">
        <v>147</v>
      </c>
    </row>
    <row r="176" spans="1:6" x14ac:dyDescent="0.3">
      <c r="A176" s="1">
        <v>1880</v>
      </c>
      <c r="B176" s="3">
        <v>2010</v>
      </c>
      <c r="C176" s="5">
        <v>2010</v>
      </c>
      <c r="D176" s="1">
        <v>1</v>
      </c>
      <c r="E176" s="8" t="s">
        <v>43</v>
      </c>
      <c r="F176" t="s">
        <v>147</v>
      </c>
    </row>
    <row r="177" spans="1:6" x14ac:dyDescent="0.3">
      <c r="A177" s="1">
        <v>1900</v>
      </c>
      <c r="B177" s="3">
        <v>2010</v>
      </c>
      <c r="C177" s="5">
        <v>2010</v>
      </c>
      <c r="D177" s="1">
        <v>1</v>
      </c>
      <c r="E177" s="8" t="s">
        <v>77</v>
      </c>
      <c r="F177" t="s">
        <v>147</v>
      </c>
    </row>
    <row r="178" spans="1:6" x14ac:dyDescent="0.3">
      <c r="A178" s="1">
        <v>1372</v>
      </c>
      <c r="B178" s="3">
        <v>2010</v>
      </c>
      <c r="C178" s="5">
        <v>2011</v>
      </c>
      <c r="D178" s="1">
        <v>2</v>
      </c>
      <c r="E178" s="8" t="s">
        <v>231</v>
      </c>
      <c r="F178" t="s">
        <v>147</v>
      </c>
    </row>
    <row r="179" spans="1:6" x14ac:dyDescent="0.3">
      <c r="A179" s="1">
        <v>1268</v>
      </c>
      <c r="B179" s="3">
        <v>2010</v>
      </c>
      <c r="C179" s="5">
        <v>2013</v>
      </c>
      <c r="D179" s="1">
        <v>3</v>
      </c>
      <c r="E179" s="8" t="s">
        <v>190</v>
      </c>
      <c r="F179" t="s">
        <v>147</v>
      </c>
    </row>
    <row r="180" spans="1:6" x14ac:dyDescent="0.3">
      <c r="A180" s="1">
        <v>1281</v>
      </c>
      <c r="B180" s="3">
        <v>2010</v>
      </c>
      <c r="C180" s="5">
        <v>2014</v>
      </c>
      <c r="D180" s="1">
        <v>5</v>
      </c>
      <c r="E180" s="8" t="s">
        <v>166</v>
      </c>
      <c r="F180" t="s">
        <v>147</v>
      </c>
    </row>
    <row r="181" spans="1:6" x14ac:dyDescent="0.3">
      <c r="A181" s="1">
        <v>1496</v>
      </c>
      <c r="B181" s="3">
        <v>2010</v>
      </c>
      <c r="C181" s="5">
        <v>2015</v>
      </c>
      <c r="D181" s="1">
        <v>5</v>
      </c>
      <c r="E181" s="8" t="s">
        <v>229</v>
      </c>
      <c r="F181" t="s">
        <v>147</v>
      </c>
    </row>
    <row r="182" spans="1:6" x14ac:dyDescent="0.3">
      <c r="A182" s="1">
        <v>1383</v>
      </c>
      <c r="B182" s="3">
        <v>2011</v>
      </c>
      <c r="C182" s="5">
        <v>2011</v>
      </c>
      <c r="D182" s="1">
        <v>1</v>
      </c>
      <c r="E182" s="8" t="s">
        <v>184</v>
      </c>
      <c r="F182" t="s">
        <v>147</v>
      </c>
    </row>
    <row r="183" spans="1:6" x14ac:dyDescent="0.3">
      <c r="A183" s="1">
        <v>1498</v>
      </c>
      <c r="B183" s="3">
        <v>2011</v>
      </c>
      <c r="C183" s="5">
        <v>2011</v>
      </c>
      <c r="D183" s="1">
        <v>1</v>
      </c>
      <c r="E183" s="8" t="s">
        <v>233</v>
      </c>
      <c r="F183" t="s">
        <v>147</v>
      </c>
    </row>
    <row r="184" spans="1:6" x14ac:dyDescent="0.3">
      <c r="A184" s="1">
        <v>1719</v>
      </c>
      <c r="B184" s="3">
        <v>2011</v>
      </c>
      <c r="C184" s="5">
        <v>2011</v>
      </c>
      <c r="D184" s="1">
        <v>1</v>
      </c>
      <c r="E184" s="8" t="s">
        <v>109</v>
      </c>
      <c r="F184" t="s">
        <v>147</v>
      </c>
    </row>
    <row r="185" spans="1:6" x14ac:dyDescent="0.3">
      <c r="A185" s="1">
        <v>1838</v>
      </c>
      <c r="B185" s="3">
        <v>2011</v>
      </c>
      <c r="C185" s="5">
        <v>2011</v>
      </c>
      <c r="D185" s="1">
        <v>1</v>
      </c>
      <c r="E185" s="8" t="s">
        <v>227</v>
      </c>
      <c r="F185" t="s">
        <v>147</v>
      </c>
    </row>
    <row r="186" spans="1:6" x14ac:dyDescent="0.3">
      <c r="A186" s="1">
        <v>1881</v>
      </c>
      <c r="B186" s="3">
        <v>2011</v>
      </c>
      <c r="C186" s="5">
        <v>2011</v>
      </c>
      <c r="D186" s="1">
        <v>1</v>
      </c>
      <c r="E186" s="8" t="s">
        <v>203</v>
      </c>
      <c r="F186" t="s">
        <v>147</v>
      </c>
    </row>
    <row r="187" spans="1:6" x14ac:dyDescent="0.3">
      <c r="A187" s="1">
        <v>1103</v>
      </c>
      <c r="B187" s="3">
        <v>2011</v>
      </c>
      <c r="C187" s="5">
        <v>2012</v>
      </c>
      <c r="D187" s="1">
        <v>4</v>
      </c>
      <c r="E187" s="8" t="s">
        <v>229</v>
      </c>
      <c r="F187" t="s">
        <v>147</v>
      </c>
    </row>
    <row r="188" spans="1:6" x14ac:dyDescent="0.3">
      <c r="A188" s="1">
        <v>1225</v>
      </c>
      <c r="B188" s="3">
        <v>2011</v>
      </c>
      <c r="C188" s="5">
        <v>2012</v>
      </c>
      <c r="D188" s="1">
        <v>2</v>
      </c>
      <c r="E188" s="8" t="s">
        <v>65</v>
      </c>
      <c r="F188" t="s">
        <v>147</v>
      </c>
    </row>
    <row r="189" spans="1:6" x14ac:dyDescent="0.3">
      <c r="A189" s="1">
        <v>1252</v>
      </c>
      <c r="B189" s="3">
        <v>2011</v>
      </c>
      <c r="C189" s="5">
        <v>2012</v>
      </c>
      <c r="D189" s="1">
        <v>2</v>
      </c>
      <c r="E189" s="8" t="s">
        <v>68</v>
      </c>
      <c r="F189" t="s">
        <v>147</v>
      </c>
    </row>
    <row r="190" spans="1:6" x14ac:dyDescent="0.3">
      <c r="A190" s="1">
        <v>1691</v>
      </c>
      <c r="B190" s="3">
        <v>2011</v>
      </c>
      <c r="C190" s="5">
        <v>2014</v>
      </c>
      <c r="D190" s="1">
        <v>2</v>
      </c>
      <c r="E190" s="8" t="s">
        <v>207</v>
      </c>
      <c r="F190" t="s">
        <v>147</v>
      </c>
    </row>
    <row r="191" spans="1:6" x14ac:dyDescent="0.3">
      <c r="A191" s="1">
        <v>1178</v>
      </c>
      <c r="B191" s="3">
        <v>2011</v>
      </c>
      <c r="C191" s="5">
        <v>2016</v>
      </c>
      <c r="D191" s="1">
        <v>6</v>
      </c>
      <c r="E191" s="8" t="s">
        <v>189</v>
      </c>
      <c r="F191" t="s">
        <v>147</v>
      </c>
    </row>
    <row r="192" spans="1:6" x14ac:dyDescent="0.3">
      <c r="A192" s="1">
        <v>1499</v>
      </c>
      <c r="B192" s="3">
        <v>2011</v>
      </c>
      <c r="C192" s="5">
        <v>2016</v>
      </c>
      <c r="D192" s="1">
        <v>2</v>
      </c>
      <c r="E192" s="8" t="s">
        <v>229</v>
      </c>
      <c r="F192" t="s">
        <v>147</v>
      </c>
    </row>
    <row r="193" spans="1:6" x14ac:dyDescent="0.3">
      <c r="A193" s="1">
        <v>1670</v>
      </c>
      <c r="B193" s="3">
        <v>2011</v>
      </c>
      <c r="C193" s="5">
        <v>2016</v>
      </c>
      <c r="D193" s="1">
        <v>5</v>
      </c>
      <c r="E193" s="8" t="s">
        <v>279</v>
      </c>
      <c r="F193" t="s">
        <v>147</v>
      </c>
    </row>
    <row r="194" spans="1:6" x14ac:dyDescent="0.3">
      <c r="A194" s="1">
        <v>1049</v>
      </c>
      <c r="B194" s="3">
        <v>2012</v>
      </c>
      <c r="C194" s="5">
        <v>2012</v>
      </c>
      <c r="D194" s="1">
        <v>1</v>
      </c>
      <c r="E194" s="8" t="s">
        <v>234</v>
      </c>
      <c r="F194" t="s">
        <v>147</v>
      </c>
    </row>
    <row r="195" spans="1:6" x14ac:dyDescent="0.3">
      <c r="A195" s="1">
        <v>1332</v>
      </c>
      <c r="B195" s="3">
        <v>2012</v>
      </c>
      <c r="C195" s="5">
        <v>2012</v>
      </c>
      <c r="D195" s="1">
        <v>1</v>
      </c>
      <c r="E195" s="8" t="s">
        <v>82</v>
      </c>
      <c r="F195" t="s">
        <v>147</v>
      </c>
    </row>
    <row r="196" spans="1:6" x14ac:dyDescent="0.3">
      <c r="A196" s="1">
        <v>1370</v>
      </c>
      <c r="B196" s="3">
        <v>2012</v>
      </c>
      <c r="C196" s="5">
        <v>2012</v>
      </c>
      <c r="D196" s="1">
        <v>1</v>
      </c>
      <c r="E196" s="8" t="s">
        <v>82</v>
      </c>
      <c r="F196" t="s">
        <v>147</v>
      </c>
    </row>
    <row r="197" spans="1:6" x14ac:dyDescent="0.3">
      <c r="A197" s="1">
        <v>1382</v>
      </c>
      <c r="B197" s="3">
        <v>2012</v>
      </c>
      <c r="C197" s="5">
        <v>2012</v>
      </c>
      <c r="D197" s="1">
        <v>1</v>
      </c>
      <c r="E197" s="8" t="s">
        <v>210</v>
      </c>
      <c r="F197" t="s">
        <v>147</v>
      </c>
    </row>
    <row r="198" spans="1:6" x14ac:dyDescent="0.3">
      <c r="A198" s="1">
        <v>1434</v>
      </c>
      <c r="B198" s="3">
        <v>2012</v>
      </c>
      <c r="C198" s="5">
        <v>2012</v>
      </c>
      <c r="D198" s="1">
        <v>2</v>
      </c>
      <c r="E198" s="8" t="s">
        <v>196</v>
      </c>
      <c r="F198" t="s">
        <v>147</v>
      </c>
    </row>
    <row r="199" spans="1:6" x14ac:dyDescent="0.3">
      <c r="A199" s="1">
        <v>1497</v>
      </c>
      <c r="B199" s="3">
        <v>2012</v>
      </c>
      <c r="C199" s="5">
        <v>2012</v>
      </c>
      <c r="D199" s="1">
        <v>4</v>
      </c>
      <c r="E199" s="8" t="s">
        <v>233</v>
      </c>
      <c r="F199" t="s">
        <v>147</v>
      </c>
    </row>
    <row r="200" spans="1:6" x14ac:dyDescent="0.3">
      <c r="A200" s="1">
        <v>1502</v>
      </c>
      <c r="B200" s="3">
        <v>2012</v>
      </c>
      <c r="C200" s="5">
        <v>2012</v>
      </c>
      <c r="D200" s="1">
        <v>2</v>
      </c>
      <c r="E200" s="8" t="s">
        <v>233</v>
      </c>
      <c r="F200" t="s">
        <v>147</v>
      </c>
    </row>
    <row r="201" spans="1:6" x14ac:dyDescent="0.3">
      <c r="A201" s="1">
        <v>1505</v>
      </c>
      <c r="B201" s="3">
        <v>2012</v>
      </c>
      <c r="C201" s="5">
        <v>2012</v>
      </c>
      <c r="D201" s="1">
        <v>1</v>
      </c>
      <c r="E201" s="8" t="s">
        <v>233</v>
      </c>
      <c r="F201" t="s">
        <v>147</v>
      </c>
    </row>
    <row r="202" spans="1:6" x14ac:dyDescent="0.3">
      <c r="A202" s="1">
        <v>1508</v>
      </c>
      <c r="B202" s="3">
        <v>2012</v>
      </c>
      <c r="C202" s="5">
        <v>2012</v>
      </c>
      <c r="D202" s="1">
        <v>1</v>
      </c>
      <c r="E202" s="8" t="s">
        <v>210</v>
      </c>
      <c r="F202" t="s">
        <v>147</v>
      </c>
    </row>
    <row r="203" spans="1:6" x14ac:dyDescent="0.3">
      <c r="A203" s="1">
        <v>1623</v>
      </c>
      <c r="B203" s="3">
        <v>2012</v>
      </c>
      <c r="C203" s="5">
        <v>2012</v>
      </c>
      <c r="D203" s="1">
        <v>1</v>
      </c>
      <c r="E203" s="8" t="s">
        <v>191</v>
      </c>
      <c r="F203" t="s">
        <v>147</v>
      </c>
    </row>
    <row r="204" spans="1:6" x14ac:dyDescent="0.3">
      <c r="A204" s="1">
        <v>1692</v>
      </c>
      <c r="B204" s="3">
        <v>2012</v>
      </c>
      <c r="C204" s="5">
        <v>2012</v>
      </c>
      <c r="D204" s="1">
        <v>1</v>
      </c>
      <c r="E204" s="8" t="s">
        <v>106</v>
      </c>
      <c r="F204" t="s">
        <v>147</v>
      </c>
    </row>
    <row r="205" spans="1:6" x14ac:dyDescent="0.3">
      <c r="A205" s="1">
        <v>1804</v>
      </c>
      <c r="B205" s="3">
        <v>2012</v>
      </c>
      <c r="C205" s="5">
        <v>2012</v>
      </c>
      <c r="D205" s="1">
        <v>1</v>
      </c>
      <c r="E205" s="8" t="s">
        <v>169</v>
      </c>
      <c r="F205" t="s">
        <v>147</v>
      </c>
    </row>
    <row r="206" spans="1:6" x14ac:dyDescent="0.3">
      <c r="A206" s="1">
        <v>1867</v>
      </c>
      <c r="B206" s="3">
        <v>2012</v>
      </c>
      <c r="C206" s="5">
        <v>2012</v>
      </c>
      <c r="D206" s="1">
        <v>1</v>
      </c>
      <c r="E206" s="8" t="s">
        <v>281</v>
      </c>
      <c r="F206" t="s">
        <v>147</v>
      </c>
    </row>
    <row r="207" spans="1:6" x14ac:dyDescent="0.3">
      <c r="A207" s="1">
        <v>1890</v>
      </c>
      <c r="B207" s="3">
        <v>2012</v>
      </c>
      <c r="C207" s="5">
        <v>2012</v>
      </c>
      <c r="D207" s="1">
        <v>1</v>
      </c>
      <c r="E207" s="8" t="s">
        <v>181</v>
      </c>
      <c r="F207" t="s">
        <v>147</v>
      </c>
    </row>
    <row r="208" spans="1:6" x14ac:dyDescent="0.3">
      <c r="A208" s="1">
        <v>1924</v>
      </c>
      <c r="B208" s="3">
        <v>2012</v>
      </c>
      <c r="C208" s="5">
        <v>2012</v>
      </c>
      <c r="D208" s="1">
        <v>1</v>
      </c>
      <c r="E208" s="8" t="s">
        <v>125</v>
      </c>
      <c r="F208" t="s">
        <v>147</v>
      </c>
    </row>
    <row r="209" spans="1:6" x14ac:dyDescent="0.3">
      <c r="A209" s="1">
        <v>1324</v>
      </c>
      <c r="B209" s="3">
        <v>2012</v>
      </c>
      <c r="C209" s="5">
        <v>2016</v>
      </c>
      <c r="D209" s="1">
        <v>2</v>
      </c>
      <c r="E209" s="8" t="s">
        <v>81</v>
      </c>
      <c r="F209" t="s">
        <v>147</v>
      </c>
    </row>
    <row r="210" spans="1:6" x14ac:dyDescent="0.3">
      <c r="A210" s="1">
        <v>1560</v>
      </c>
      <c r="B210" s="3">
        <v>2012</v>
      </c>
      <c r="C210" s="5">
        <v>2017</v>
      </c>
      <c r="D210" s="1">
        <v>7</v>
      </c>
      <c r="E210" s="8" t="s">
        <v>172</v>
      </c>
      <c r="F210" t="s">
        <v>147</v>
      </c>
    </row>
    <row r="211" spans="1:6" x14ac:dyDescent="0.3">
      <c r="A211" s="1">
        <v>1195</v>
      </c>
      <c r="B211" s="3">
        <v>2013</v>
      </c>
      <c r="C211" s="5">
        <v>2013</v>
      </c>
      <c r="D211" s="1">
        <v>1</v>
      </c>
      <c r="E211" s="8" t="s">
        <v>206</v>
      </c>
      <c r="F211" t="s">
        <v>147</v>
      </c>
    </row>
    <row r="212" spans="1:6" x14ac:dyDescent="0.3">
      <c r="A212" s="1">
        <v>1219</v>
      </c>
      <c r="B212" s="3">
        <v>2013</v>
      </c>
      <c r="C212" s="5">
        <v>2013</v>
      </c>
      <c r="D212" s="1">
        <v>1</v>
      </c>
      <c r="E212" s="4" t="s">
        <v>257</v>
      </c>
      <c r="F212" t="s">
        <v>147</v>
      </c>
    </row>
    <row r="213" spans="1:6" x14ac:dyDescent="0.3">
      <c r="A213" s="1">
        <v>1265</v>
      </c>
      <c r="B213" s="3">
        <v>2013</v>
      </c>
      <c r="C213" s="5">
        <v>2013</v>
      </c>
      <c r="D213" s="1">
        <v>1</v>
      </c>
      <c r="E213" s="8" t="s">
        <v>261</v>
      </c>
      <c r="F213" t="s">
        <v>147</v>
      </c>
    </row>
    <row r="214" spans="1:6" x14ac:dyDescent="0.3">
      <c r="A214" s="1">
        <v>1305</v>
      </c>
      <c r="B214" s="3">
        <v>2013</v>
      </c>
      <c r="C214" s="5">
        <v>2013</v>
      </c>
      <c r="D214" s="1">
        <v>1</v>
      </c>
      <c r="E214" s="8" t="s">
        <v>76</v>
      </c>
      <c r="F214" t="s">
        <v>147</v>
      </c>
    </row>
    <row r="215" spans="1:6" x14ac:dyDescent="0.3">
      <c r="A215" s="1">
        <v>1500</v>
      </c>
      <c r="B215" s="3">
        <v>2013</v>
      </c>
      <c r="C215" s="5">
        <v>2013</v>
      </c>
      <c r="D215" s="1">
        <v>1</v>
      </c>
      <c r="E215" s="8" t="s">
        <v>229</v>
      </c>
      <c r="F215" t="s">
        <v>147</v>
      </c>
    </row>
    <row r="216" spans="1:6" x14ac:dyDescent="0.3">
      <c r="A216" s="1">
        <v>1745</v>
      </c>
      <c r="B216" s="3">
        <v>2013</v>
      </c>
      <c r="C216" s="5">
        <v>2013</v>
      </c>
      <c r="D216" s="1">
        <v>1</v>
      </c>
      <c r="E216" s="8" t="s">
        <v>241</v>
      </c>
      <c r="F216" t="s">
        <v>147</v>
      </c>
    </row>
    <row r="217" spans="1:6" x14ac:dyDescent="0.3">
      <c r="A217" s="1">
        <v>1894</v>
      </c>
      <c r="B217" s="3">
        <v>2013</v>
      </c>
      <c r="C217" s="5">
        <v>2013</v>
      </c>
      <c r="D217" s="1">
        <v>1</v>
      </c>
      <c r="E217" s="8" t="s">
        <v>279</v>
      </c>
      <c r="F217" t="s">
        <v>147</v>
      </c>
    </row>
    <row r="218" spans="1:6" x14ac:dyDescent="0.3">
      <c r="A218" s="1">
        <v>1904</v>
      </c>
      <c r="B218" s="3">
        <v>2013</v>
      </c>
      <c r="C218" s="5">
        <v>2013</v>
      </c>
      <c r="D218" s="1">
        <v>1</v>
      </c>
      <c r="E218" s="8" t="s">
        <v>273</v>
      </c>
      <c r="F218" t="s">
        <v>147</v>
      </c>
    </row>
    <row r="219" spans="1:6" x14ac:dyDescent="0.3">
      <c r="A219" s="1">
        <v>1940</v>
      </c>
      <c r="B219" s="3">
        <v>2013</v>
      </c>
      <c r="C219" s="5">
        <v>2013</v>
      </c>
      <c r="D219" s="1">
        <v>1</v>
      </c>
      <c r="E219" s="8" t="s">
        <v>253</v>
      </c>
      <c r="F219" t="s">
        <v>147</v>
      </c>
    </row>
    <row r="220" spans="1:6" x14ac:dyDescent="0.3">
      <c r="A220" s="1">
        <v>1958</v>
      </c>
      <c r="B220" s="3">
        <v>2013</v>
      </c>
      <c r="C220" s="5">
        <v>2013</v>
      </c>
      <c r="D220" s="1">
        <v>1</v>
      </c>
      <c r="E220" s="8" t="s">
        <v>126</v>
      </c>
      <c r="F220" t="s">
        <v>147</v>
      </c>
    </row>
    <row r="221" spans="1:6" x14ac:dyDescent="0.3">
      <c r="A221" s="1">
        <v>1335</v>
      </c>
      <c r="B221" s="3">
        <v>2013</v>
      </c>
      <c r="C221" s="5">
        <v>2014</v>
      </c>
      <c r="D221" s="1">
        <v>2</v>
      </c>
      <c r="E221" s="8" t="s">
        <v>77</v>
      </c>
      <c r="F221" t="s">
        <v>147</v>
      </c>
    </row>
    <row r="222" spans="1:6" x14ac:dyDescent="0.3">
      <c r="A222" s="1">
        <v>1319</v>
      </c>
      <c r="B222" s="3">
        <v>2013</v>
      </c>
      <c r="C222" s="5">
        <v>2016</v>
      </c>
      <c r="D222" s="1">
        <v>2</v>
      </c>
      <c r="E222" s="8" t="s">
        <v>77</v>
      </c>
      <c r="F222" t="s">
        <v>147</v>
      </c>
    </row>
    <row r="223" spans="1:6" x14ac:dyDescent="0.3">
      <c r="A223" s="1">
        <v>1641</v>
      </c>
      <c r="B223" s="3">
        <v>2013</v>
      </c>
      <c r="C223" s="5">
        <v>2017</v>
      </c>
      <c r="D223" s="1">
        <v>5</v>
      </c>
      <c r="E223" s="8" t="s">
        <v>179</v>
      </c>
      <c r="F223" t="s">
        <v>147</v>
      </c>
    </row>
    <row r="224" spans="1:6" x14ac:dyDescent="0.3">
      <c r="A224" s="1">
        <v>1727</v>
      </c>
      <c r="B224" s="3">
        <v>2013</v>
      </c>
      <c r="C224" s="5">
        <v>2017</v>
      </c>
      <c r="D224" s="1">
        <v>2</v>
      </c>
      <c r="E224" s="8" t="s">
        <v>204</v>
      </c>
      <c r="F224" t="s">
        <v>147</v>
      </c>
    </row>
    <row r="225" spans="1:6" x14ac:dyDescent="0.3">
      <c r="A225" s="1">
        <v>1302</v>
      </c>
      <c r="B225" s="3">
        <v>2014</v>
      </c>
      <c r="C225" s="5">
        <v>2014</v>
      </c>
      <c r="D225" s="1">
        <v>1</v>
      </c>
      <c r="E225" s="8" t="s">
        <v>182</v>
      </c>
      <c r="F225" t="s">
        <v>147</v>
      </c>
    </row>
    <row r="226" spans="1:6" x14ac:dyDescent="0.3">
      <c r="A226" s="1">
        <v>1428</v>
      </c>
      <c r="B226" s="3">
        <v>2014</v>
      </c>
      <c r="C226" s="5">
        <v>2014</v>
      </c>
      <c r="D226" s="1">
        <v>1</v>
      </c>
      <c r="E226" s="8" t="s">
        <v>17</v>
      </c>
      <c r="F226" t="s">
        <v>147</v>
      </c>
    </row>
    <row r="227" spans="1:6" x14ac:dyDescent="0.3">
      <c r="A227" s="1">
        <v>1457</v>
      </c>
      <c r="B227" s="3">
        <v>2014</v>
      </c>
      <c r="C227" s="5">
        <v>2014</v>
      </c>
      <c r="D227" s="1">
        <v>2</v>
      </c>
      <c r="E227" s="8" t="s">
        <v>77</v>
      </c>
      <c r="F227" t="s">
        <v>147</v>
      </c>
    </row>
    <row r="228" spans="1:6" x14ac:dyDescent="0.3">
      <c r="A228" s="1">
        <v>1504</v>
      </c>
      <c r="B228" s="3">
        <v>2014</v>
      </c>
      <c r="C228" s="5">
        <v>2014</v>
      </c>
      <c r="D228" s="1">
        <v>1</v>
      </c>
      <c r="E228" s="8" t="s">
        <v>282</v>
      </c>
      <c r="F228" t="s">
        <v>147</v>
      </c>
    </row>
    <row r="229" spans="1:6" x14ac:dyDescent="0.3">
      <c r="A229" s="1">
        <v>1616</v>
      </c>
      <c r="B229" s="3">
        <v>2014</v>
      </c>
      <c r="C229" s="5">
        <v>2014</v>
      </c>
      <c r="D229" s="1">
        <v>2</v>
      </c>
      <c r="E229" s="8" t="s">
        <v>103</v>
      </c>
      <c r="F229" t="s">
        <v>147</v>
      </c>
    </row>
    <row r="230" spans="1:6" x14ac:dyDescent="0.3">
      <c r="A230" s="1">
        <v>1617</v>
      </c>
      <c r="B230" s="3">
        <v>2014</v>
      </c>
      <c r="C230" s="5">
        <v>2014</v>
      </c>
      <c r="D230" s="1">
        <v>1</v>
      </c>
      <c r="E230" s="8" t="s">
        <v>103</v>
      </c>
      <c r="F230" t="s">
        <v>147</v>
      </c>
    </row>
    <row r="231" spans="1:6" x14ac:dyDescent="0.3">
      <c r="A231" s="1">
        <v>1834</v>
      </c>
      <c r="B231" s="3">
        <v>2014</v>
      </c>
      <c r="C231" s="5">
        <v>2014</v>
      </c>
      <c r="D231" s="1">
        <v>1</v>
      </c>
      <c r="E231" s="8" t="s">
        <v>202</v>
      </c>
      <c r="F231" t="s">
        <v>147</v>
      </c>
    </row>
    <row r="232" spans="1:6" x14ac:dyDescent="0.3">
      <c r="A232" s="1">
        <v>1845</v>
      </c>
      <c r="B232" s="3">
        <v>2014</v>
      </c>
      <c r="C232" s="5">
        <v>2014</v>
      </c>
      <c r="D232" s="1">
        <v>1</v>
      </c>
      <c r="E232" s="8" t="s">
        <v>118</v>
      </c>
      <c r="F232" t="s">
        <v>147</v>
      </c>
    </row>
    <row r="233" spans="1:6" x14ac:dyDescent="0.3">
      <c r="A233" s="1">
        <v>1873</v>
      </c>
      <c r="B233" s="3">
        <v>2014</v>
      </c>
      <c r="C233" s="5">
        <v>2014</v>
      </c>
      <c r="D233" s="1">
        <v>1</v>
      </c>
      <c r="E233" s="8" t="s">
        <v>235</v>
      </c>
      <c r="F233" t="s">
        <v>147</v>
      </c>
    </row>
    <row r="234" spans="1:6" x14ac:dyDescent="0.3">
      <c r="A234" s="1">
        <v>1899</v>
      </c>
      <c r="B234" s="3">
        <v>2014</v>
      </c>
      <c r="C234" s="5">
        <v>2014</v>
      </c>
      <c r="D234" s="1">
        <v>2</v>
      </c>
      <c r="E234" s="8" t="s">
        <v>251</v>
      </c>
      <c r="F234" t="s">
        <v>147</v>
      </c>
    </row>
    <row r="235" spans="1:6" x14ac:dyDescent="0.3">
      <c r="A235" s="1">
        <v>1930</v>
      </c>
      <c r="B235" s="3">
        <v>2014</v>
      </c>
      <c r="C235" s="5">
        <v>2014</v>
      </c>
      <c r="D235" s="1">
        <v>1</v>
      </c>
      <c r="E235" s="8" t="s">
        <v>77</v>
      </c>
      <c r="F235" t="s">
        <v>147</v>
      </c>
    </row>
    <row r="236" spans="1:6" x14ac:dyDescent="0.3">
      <c r="A236" s="1">
        <v>1935</v>
      </c>
      <c r="B236" s="3">
        <v>2014</v>
      </c>
      <c r="C236" s="5">
        <v>2014</v>
      </c>
      <c r="D236" s="1">
        <v>1</v>
      </c>
      <c r="E236" s="8" t="s">
        <v>77</v>
      </c>
      <c r="F236" t="s">
        <v>147</v>
      </c>
    </row>
    <row r="237" spans="1:6" x14ac:dyDescent="0.3">
      <c r="A237" s="1">
        <v>1371</v>
      </c>
      <c r="B237" s="3">
        <v>2014</v>
      </c>
      <c r="C237" s="5">
        <v>2016</v>
      </c>
      <c r="D237" s="1">
        <v>2</v>
      </c>
      <c r="E237" s="8" t="s">
        <v>232</v>
      </c>
      <c r="F237" t="s">
        <v>147</v>
      </c>
    </row>
    <row r="238" spans="1:6" x14ac:dyDescent="0.3">
      <c r="A238" s="1">
        <v>1203</v>
      </c>
      <c r="B238" s="3">
        <v>2014</v>
      </c>
      <c r="C238" s="5">
        <v>2017</v>
      </c>
      <c r="D238" s="1">
        <v>3</v>
      </c>
      <c r="E238" s="8" t="s">
        <v>219</v>
      </c>
      <c r="F238" t="s">
        <v>147</v>
      </c>
    </row>
    <row r="239" spans="1:6" x14ac:dyDescent="0.3">
      <c r="A239" s="1">
        <v>1782</v>
      </c>
      <c r="B239" s="3">
        <v>2015</v>
      </c>
      <c r="C239" s="5">
        <v>2015</v>
      </c>
      <c r="D239" s="1">
        <v>1</v>
      </c>
      <c r="E239" s="8" t="s">
        <v>283</v>
      </c>
      <c r="F239" t="s">
        <v>147</v>
      </c>
    </row>
    <row r="240" spans="1:6" x14ac:dyDescent="0.3">
      <c r="A240" s="1">
        <v>1785</v>
      </c>
      <c r="B240" s="3">
        <v>2015</v>
      </c>
      <c r="C240" s="5">
        <v>2015</v>
      </c>
      <c r="D240" s="1">
        <v>1</v>
      </c>
      <c r="E240" s="8" t="s">
        <v>278</v>
      </c>
      <c r="F240" t="s">
        <v>147</v>
      </c>
    </row>
    <row r="241" spans="1:6" x14ac:dyDescent="0.3">
      <c r="A241" s="1">
        <v>1791</v>
      </c>
      <c r="B241" s="3">
        <v>2015</v>
      </c>
      <c r="C241" s="5">
        <v>2015</v>
      </c>
      <c r="D241" s="1">
        <v>1</v>
      </c>
      <c r="E241" s="8" t="s">
        <v>77</v>
      </c>
      <c r="F241" t="s">
        <v>147</v>
      </c>
    </row>
    <row r="242" spans="1:6" x14ac:dyDescent="0.3">
      <c r="A242" s="1">
        <v>1794</v>
      </c>
      <c r="B242" s="3">
        <v>2015</v>
      </c>
      <c r="C242" s="5">
        <v>2015</v>
      </c>
      <c r="D242" s="1">
        <v>1</v>
      </c>
      <c r="E242" s="8" t="s">
        <v>223</v>
      </c>
      <c r="F242" t="s">
        <v>147</v>
      </c>
    </row>
    <row r="243" spans="1:6" x14ac:dyDescent="0.3">
      <c r="A243" s="1">
        <v>1813</v>
      </c>
      <c r="B243" s="3">
        <v>2015</v>
      </c>
      <c r="C243" s="5">
        <v>2015</v>
      </c>
      <c r="D243" s="1">
        <v>1</v>
      </c>
      <c r="E243" s="8" t="s">
        <v>171</v>
      </c>
      <c r="F243" t="s">
        <v>147</v>
      </c>
    </row>
    <row r="244" spans="1:6" x14ac:dyDescent="0.3">
      <c r="A244" s="1">
        <v>1918</v>
      </c>
      <c r="B244" s="3">
        <v>2015</v>
      </c>
      <c r="C244" s="5">
        <v>2015</v>
      </c>
      <c r="D244" s="1">
        <v>1</v>
      </c>
      <c r="E244" s="8" t="s">
        <v>276</v>
      </c>
      <c r="F244" t="s">
        <v>147</v>
      </c>
    </row>
    <row r="245" spans="1:6" x14ac:dyDescent="0.3">
      <c r="A245" s="1">
        <v>1937</v>
      </c>
      <c r="B245" s="3">
        <v>2015</v>
      </c>
      <c r="C245" s="5">
        <v>2015</v>
      </c>
      <c r="D245" s="1">
        <v>1</v>
      </c>
      <c r="E245" s="8" t="s">
        <v>240</v>
      </c>
      <c r="F245" t="s">
        <v>147</v>
      </c>
    </row>
    <row r="246" spans="1:6" x14ac:dyDescent="0.3">
      <c r="A246" s="1">
        <v>1947</v>
      </c>
      <c r="B246" s="3">
        <v>2015</v>
      </c>
      <c r="C246" s="5">
        <v>2015</v>
      </c>
      <c r="D246" s="1">
        <v>1</v>
      </c>
      <c r="E246" s="8" t="s">
        <v>118</v>
      </c>
      <c r="F246" t="s">
        <v>147</v>
      </c>
    </row>
    <row r="247" spans="1:6" x14ac:dyDescent="0.3">
      <c r="A247" s="1">
        <v>2214</v>
      </c>
      <c r="B247" s="3">
        <v>2015</v>
      </c>
      <c r="C247" s="5">
        <v>2015</v>
      </c>
      <c r="D247" s="1">
        <v>1</v>
      </c>
      <c r="E247" s="8" t="s">
        <v>212</v>
      </c>
      <c r="F247" t="s">
        <v>147</v>
      </c>
    </row>
    <row r="248" spans="1:6" x14ac:dyDescent="0.3">
      <c r="A248" s="1">
        <v>1788</v>
      </c>
      <c r="B248" s="3">
        <v>2015</v>
      </c>
      <c r="C248" s="5">
        <v>2016</v>
      </c>
      <c r="D248" s="1">
        <v>2</v>
      </c>
      <c r="E248" s="8" t="s">
        <v>77</v>
      </c>
      <c r="F248" t="s">
        <v>147</v>
      </c>
    </row>
    <row r="249" spans="1:6" x14ac:dyDescent="0.3">
      <c r="A249" s="1">
        <v>1908</v>
      </c>
      <c r="B249" s="3">
        <v>2016</v>
      </c>
      <c r="C249" s="5">
        <v>2016</v>
      </c>
      <c r="D249" s="1">
        <v>1</v>
      </c>
      <c r="E249" s="8" t="s">
        <v>99</v>
      </c>
      <c r="F249" t="s">
        <v>147</v>
      </c>
    </row>
    <row r="250" spans="1:6" x14ac:dyDescent="0.3">
      <c r="A250" s="1">
        <v>1929</v>
      </c>
      <c r="B250" s="3">
        <v>2016</v>
      </c>
      <c r="C250" s="5">
        <v>2016</v>
      </c>
      <c r="D250" s="1">
        <v>1</v>
      </c>
      <c r="E250" s="8" t="s">
        <v>276</v>
      </c>
      <c r="F250" t="s">
        <v>147</v>
      </c>
    </row>
    <row r="251" spans="1:6" x14ac:dyDescent="0.3">
      <c r="A251" s="1">
        <v>1965</v>
      </c>
      <c r="B251" s="3">
        <v>2016</v>
      </c>
      <c r="C251" s="5">
        <v>2016</v>
      </c>
      <c r="D251" s="1">
        <v>2</v>
      </c>
      <c r="E251" s="8" t="s">
        <v>153</v>
      </c>
      <c r="F251" t="s">
        <v>147</v>
      </c>
    </row>
    <row r="252" spans="1:6" x14ac:dyDescent="0.3">
      <c r="A252" s="1">
        <v>1969</v>
      </c>
      <c r="B252" s="3">
        <v>2016</v>
      </c>
      <c r="C252" s="5">
        <v>2016</v>
      </c>
      <c r="D252" s="1">
        <v>1</v>
      </c>
      <c r="E252" s="8" t="s">
        <v>260</v>
      </c>
      <c r="F252" t="s">
        <v>147</v>
      </c>
    </row>
    <row r="253" spans="1:6" x14ac:dyDescent="0.3">
      <c r="A253" s="1">
        <v>1970</v>
      </c>
      <c r="B253" s="3">
        <v>2016</v>
      </c>
      <c r="C253" s="5">
        <v>2016</v>
      </c>
      <c r="D253" s="1">
        <v>1</v>
      </c>
      <c r="E253" s="8" t="s">
        <v>249</v>
      </c>
      <c r="F253" t="s">
        <v>147</v>
      </c>
    </row>
    <row r="254" spans="1:6" x14ac:dyDescent="0.3">
      <c r="A254" s="1">
        <v>1977</v>
      </c>
      <c r="B254" s="3">
        <v>2016</v>
      </c>
      <c r="C254" s="5">
        <v>2016</v>
      </c>
      <c r="D254" s="1">
        <v>1</v>
      </c>
      <c r="E254" s="8" t="s">
        <v>262</v>
      </c>
      <c r="F254" t="s">
        <v>147</v>
      </c>
    </row>
    <row r="255" spans="1:6" x14ac:dyDescent="0.3">
      <c r="A255" s="1">
        <v>1978</v>
      </c>
      <c r="B255" s="3">
        <v>2016</v>
      </c>
      <c r="C255" s="5">
        <v>2016</v>
      </c>
      <c r="D255" s="1">
        <v>1</v>
      </c>
      <c r="E255" s="8" t="s">
        <v>127</v>
      </c>
      <c r="F255" t="s">
        <v>147</v>
      </c>
    </row>
    <row r="256" spans="1:6" x14ac:dyDescent="0.3">
      <c r="A256" s="1">
        <v>1991</v>
      </c>
      <c r="B256" s="3">
        <v>2016</v>
      </c>
      <c r="C256" s="5">
        <v>2016</v>
      </c>
      <c r="D256" s="1">
        <v>1</v>
      </c>
      <c r="E256" s="8" t="s">
        <v>254</v>
      </c>
      <c r="F256" t="s">
        <v>147</v>
      </c>
    </row>
    <row r="257" spans="1:6" x14ac:dyDescent="0.3">
      <c r="A257" s="1">
        <v>2018</v>
      </c>
      <c r="B257" s="3">
        <v>2016</v>
      </c>
      <c r="C257" s="5">
        <v>2016</v>
      </c>
      <c r="D257" s="1">
        <v>1</v>
      </c>
      <c r="E257" s="8" t="s">
        <v>232</v>
      </c>
      <c r="F257" t="s">
        <v>147</v>
      </c>
    </row>
    <row r="258" spans="1:6" x14ac:dyDescent="0.3">
      <c r="A258" s="1">
        <v>2050</v>
      </c>
      <c r="B258" s="3">
        <v>2016</v>
      </c>
      <c r="C258" s="5">
        <v>2016</v>
      </c>
      <c r="D258" s="1">
        <v>6</v>
      </c>
      <c r="E258" s="8" t="s">
        <v>279</v>
      </c>
      <c r="F258" t="s">
        <v>147</v>
      </c>
    </row>
    <row r="259" spans="1:6" x14ac:dyDescent="0.3">
      <c r="A259" s="1">
        <v>2054</v>
      </c>
      <c r="B259" s="3">
        <v>2016</v>
      </c>
      <c r="C259" s="5">
        <v>2016</v>
      </c>
      <c r="D259" s="1">
        <v>1</v>
      </c>
      <c r="E259" s="12" t="s">
        <v>178</v>
      </c>
      <c r="F259" t="s">
        <v>147</v>
      </c>
    </row>
    <row r="260" spans="1:6" x14ac:dyDescent="0.3">
      <c r="A260" s="1">
        <v>2238</v>
      </c>
      <c r="B260" s="3">
        <v>2016</v>
      </c>
      <c r="C260" s="5">
        <v>2016</v>
      </c>
      <c r="D260" s="1">
        <v>1</v>
      </c>
      <c r="E260" s="8" t="s">
        <v>258</v>
      </c>
      <c r="F260" t="s">
        <v>147</v>
      </c>
    </row>
    <row r="261" spans="1:6" x14ac:dyDescent="0.3">
      <c r="A261" s="1">
        <v>1980</v>
      </c>
      <c r="B261" s="3">
        <v>2016</v>
      </c>
      <c r="C261" s="5">
        <v>2017</v>
      </c>
      <c r="D261" s="1">
        <v>2</v>
      </c>
      <c r="E261" s="8" t="s">
        <v>249</v>
      </c>
      <c r="F261" t="s">
        <v>147</v>
      </c>
    </row>
    <row r="262" spans="1:6" x14ac:dyDescent="0.3">
      <c r="A262" s="1">
        <v>1992</v>
      </c>
      <c r="B262" s="3">
        <v>2016</v>
      </c>
      <c r="C262" s="5">
        <v>2017</v>
      </c>
      <c r="D262" s="1">
        <v>2</v>
      </c>
      <c r="E262" s="8" t="s">
        <v>239</v>
      </c>
      <c r="F262" t="s">
        <v>147</v>
      </c>
    </row>
    <row r="263" spans="1:6" x14ac:dyDescent="0.3">
      <c r="A263" s="1">
        <v>2057</v>
      </c>
      <c r="B263" s="3">
        <v>2017</v>
      </c>
      <c r="C263" s="5">
        <v>2017</v>
      </c>
      <c r="D263" s="1">
        <v>2</v>
      </c>
      <c r="E263" s="8" t="s">
        <v>270</v>
      </c>
      <c r="F263" t="s">
        <v>147</v>
      </c>
    </row>
    <row r="264" spans="1:6" x14ac:dyDescent="0.3">
      <c r="A264" s="1">
        <v>2060</v>
      </c>
      <c r="B264" s="3">
        <v>2017</v>
      </c>
      <c r="C264" s="5">
        <v>2017</v>
      </c>
      <c r="D264" s="1">
        <v>3</v>
      </c>
      <c r="E264" s="8" t="s">
        <v>229</v>
      </c>
      <c r="F264" t="s">
        <v>147</v>
      </c>
    </row>
    <row r="265" spans="1:6" x14ac:dyDescent="0.3">
      <c r="A265" s="1">
        <v>2069</v>
      </c>
      <c r="B265" s="3">
        <v>2017</v>
      </c>
      <c r="C265" s="5">
        <v>2017</v>
      </c>
      <c r="D265" s="1">
        <v>2</v>
      </c>
      <c r="E265" s="8" t="s">
        <v>282</v>
      </c>
      <c r="F265" t="s">
        <v>147</v>
      </c>
    </row>
    <row r="266" spans="1:6" x14ac:dyDescent="0.3">
      <c r="A266" s="1">
        <v>2099</v>
      </c>
      <c r="B266" s="3">
        <v>2017</v>
      </c>
      <c r="C266" s="5">
        <v>2017</v>
      </c>
      <c r="D266" s="1">
        <v>1</v>
      </c>
      <c r="E266" s="8" t="s">
        <v>127</v>
      </c>
      <c r="F266" t="s">
        <v>147</v>
      </c>
    </row>
    <row r="267" spans="1:6" x14ac:dyDescent="0.3">
      <c r="A267" s="1">
        <v>2112</v>
      </c>
      <c r="B267" s="3">
        <v>2017</v>
      </c>
      <c r="C267" s="5">
        <v>2017</v>
      </c>
      <c r="D267" s="1">
        <v>1</v>
      </c>
      <c r="E267" s="8" t="s">
        <v>127</v>
      </c>
      <c r="F267" t="s">
        <v>147</v>
      </c>
    </row>
    <row r="268" spans="1:6" x14ac:dyDescent="0.3">
      <c r="A268" s="1">
        <v>2132</v>
      </c>
      <c r="B268" s="3">
        <v>2017</v>
      </c>
      <c r="C268" s="5">
        <v>2017</v>
      </c>
      <c r="D268" s="1">
        <v>1</v>
      </c>
      <c r="E268" s="13" t="s">
        <v>131</v>
      </c>
      <c r="F268" t="s">
        <v>147</v>
      </c>
    </row>
    <row r="269" spans="1:6" x14ac:dyDescent="0.3">
      <c r="A269" s="1">
        <v>2169</v>
      </c>
      <c r="B269" s="3">
        <v>2017</v>
      </c>
      <c r="C269" s="5">
        <v>2017</v>
      </c>
      <c r="D269" s="1">
        <v>1</v>
      </c>
      <c r="E269" s="8" t="s">
        <v>276</v>
      </c>
      <c r="F269" t="s">
        <v>147</v>
      </c>
    </row>
    <row r="270" spans="1:6" x14ac:dyDescent="0.3">
      <c r="A270" s="1">
        <v>2182</v>
      </c>
      <c r="B270" s="3">
        <v>2017</v>
      </c>
      <c r="C270" s="5">
        <v>2017</v>
      </c>
      <c r="D270" s="1">
        <v>1</v>
      </c>
      <c r="E270" s="8" t="s">
        <v>77</v>
      </c>
      <c r="F270" t="s">
        <v>147</v>
      </c>
    </row>
    <row r="271" spans="1:6" x14ac:dyDescent="0.3">
      <c r="A271" s="1">
        <v>2203</v>
      </c>
      <c r="B271" s="3">
        <v>2017</v>
      </c>
      <c r="C271" s="5">
        <v>2017</v>
      </c>
      <c r="D271" s="1">
        <v>1</v>
      </c>
      <c r="E271" s="8" t="s">
        <v>55</v>
      </c>
      <c r="F271" t="s">
        <v>147</v>
      </c>
    </row>
    <row r="272" spans="1:6" x14ac:dyDescent="0.3">
      <c r="A272" s="1">
        <v>2242</v>
      </c>
      <c r="B272" s="3">
        <v>2017</v>
      </c>
      <c r="C272" s="5">
        <v>2017</v>
      </c>
      <c r="D272" s="1">
        <v>1</v>
      </c>
      <c r="E272" s="8" t="s">
        <v>274</v>
      </c>
      <c r="F272" t="s">
        <v>147</v>
      </c>
    </row>
    <row r="273" spans="1:6" x14ac:dyDescent="0.3">
      <c r="A273" s="1">
        <v>2263</v>
      </c>
      <c r="B273" s="3">
        <v>2017</v>
      </c>
      <c r="C273" s="5">
        <v>2017</v>
      </c>
      <c r="D273" s="1">
        <v>1</v>
      </c>
      <c r="E273" s="13" t="s">
        <v>141</v>
      </c>
      <c r="F273" t="s">
        <v>147</v>
      </c>
    </row>
    <row r="274" spans="1:6" x14ac:dyDescent="0.3">
      <c r="A274" s="1">
        <v>2073</v>
      </c>
      <c r="B274" s="3">
        <v>2017</v>
      </c>
      <c r="C274" s="5">
        <v>2018</v>
      </c>
      <c r="D274" s="1">
        <v>2</v>
      </c>
      <c r="E274" s="8" t="s">
        <v>45</v>
      </c>
      <c r="F274" t="s">
        <v>147</v>
      </c>
    </row>
    <row r="275" spans="1:6" x14ac:dyDescent="0.3">
      <c r="A275" s="1">
        <v>2061</v>
      </c>
      <c r="B275" s="3">
        <v>2018</v>
      </c>
      <c r="C275" s="5">
        <v>2018</v>
      </c>
      <c r="D275" s="1">
        <v>1</v>
      </c>
      <c r="E275" s="8" t="s">
        <v>129</v>
      </c>
      <c r="F275" t="s">
        <v>147</v>
      </c>
    </row>
    <row r="276" spans="1:6" x14ac:dyDescent="0.3">
      <c r="A276" s="1">
        <v>2062</v>
      </c>
      <c r="B276" s="3">
        <v>2018</v>
      </c>
      <c r="C276" s="5">
        <v>2018</v>
      </c>
      <c r="D276" s="1">
        <v>1</v>
      </c>
      <c r="E276" s="8" t="s">
        <v>77</v>
      </c>
      <c r="F276" t="s">
        <v>147</v>
      </c>
    </row>
    <row r="277" spans="1:6" x14ac:dyDescent="0.3">
      <c r="A277" s="1">
        <v>2063</v>
      </c>
      <c r="B277" s="3">
        <v>2018</v>
      </c>
      <c r="C277" s="5">
        <v>2018</v>
      </c>
      <c r="D277" s="1">
        <v>1</v>
      </c>
      <c r="E277" s="8" t="s">
        <v>259</v>
      </c>
      <c r="F277" t="s">
        <v>147</v>
      </c>
    </row>
    <row r="278" spans="1:6" x14ac:dyDescent="0.3">
      <c r="A278" s="1">
        <v>2065</v>
      </c>
      <c r="B278" s="3">
        <v>2018</v>
      </c>
      <c r="C278" s="5">
        <v>2018</v>
      </c>
      <c r="D278" s="1">
        <v>1</v>
      </c>
      <c r="E278" s="8" t="s">
        <v>55</v>
      </c>
      <c r="F278" t="s">
        <v>147</v>
      </c>
    </row>
    <row r="279" spans="1:6" x14ac:dyDescent="0.3">
      <c r="A279" s="1">
        <v>2078</v>
      </c>
      <c r="B279" s="3">
        <v>2018</v>
      </c>
      <c r="C279" s="5">
        <v>2018</v>
      </c>
      <c r="D279" s="1">
        <v>1</v>
      </c>
      <c r="E279" s="8" t="s">
        <v>265</v>
      </c>
      <c r="F279" t="s">
        <v>147</v>
      </c>
    </row>
    <row r="280" spans="1:6" x14ac:dyDescent="0.3">
      <c r="A280" s="1">
        <v>2079</v>
      </c>
      <c r="B280" s="3">
        <v>2018</v>
      </c>
      <c r="C280" s="5">
        <v>2018</v>
      </c>
      <c r="D280" s="1">
        <v>1</v>
      </c>
      <c r="E280" s="8" t="s">
        <v>126</v>
      </c>
      <c r="F280" t="s">
        <v>147</v>
      </c>
    </row>
    <row r="281" spans="1:6" x14ac:dyDescent="0.3">
      <c r="A281" s="1">
        <v>2084</v>
      </c>
      <c r="B281" s="3">
        <v>2018</v>
      </c>
      <c r="C281" s="5">
        <v>2018</v>
      </c>
      <c r="D281" s="1">
        <v>2</v>
      </c>
      <c r="E281" s="8" t="s">
        <v>229</v>
      </c>
      <c r="F281" t="s">
        <v>147</v>
      </c>
    </row>
    <row r="282" spans="1:6" x14ac:dyDescent="0.3">
      <c r="A282" s="1">
        <v>1074</v>
      </c>
      <c r="B282" s="3">
        <v>1990</v>
      </c>
      <c r="C282" s="5">
        <v>2008</v>
      </c>
      <c r="D282" s="1">
        <v>11</v>
      </c>
      <c r="E282" s="8" t="s">
        <v>93</v>
      </c>
      <c r="F282" t="s">
        <v>149</v>
      </c>
    </row>
    <row r="283" spans="1:6" x14ac:dyDescent="0.3">
      <c r="A283" s="1">
        <v>1106</v>
      </c>
      <c r="B283" s="3">
        <v>1990</v>
      </c>
      <c r="C283" s="5">
        <v>2011</v>
      </c>
      <c r="D283" s="1">
        <v>16</v>
      </c>
      <c r="E283" s="8" t="s">
        <v>73</v>
      </c>
      <c r="F283" t="s">
        <v>149</v>
      </c>
    </row>
    <row r="284" spans="1:6" x14ac:dyDescent="0.3">
      <c r="A284" s="1">
        <v>1367</v>
      </c>
      <c r="B284" s="3">
        <v>1992</v>
      </c>
      <c r="C284" s="5">
        <v>2017</v>
      </c>
      <c r="D284" s="1">
        <v>26</v>
      </c>
      <c r="E284" s="8" t="s">
        <v>42</v>
      </c>
      <c r="F284" t="s">
        <v>149</v>
      </c>
    </row>
    <row r="285" spans="1:6" x14ac:dyDescent="0.3">
      <c r="A285" s="1">
        <v>1957</v>
      </c>
      <c r="B285" s="3">
        <v>1994</v>
      </c>
      <c r="C285" s="5">
        <v>2007</v>
      </c>
      <c r="D285" s="1">
        <v>4</v>
      </c>
      <c r="E285" s="8" t="s">
        <v>150</v>
      </c>
      <c r="F285" t="s">
        <v>149</v>
      </c>
    </row>
    <row r="286" spans="1:6" x14ac:dyDescent="0.3">
      <c r="A286" s="1">
        <v>1961</v>
      </c>
      <c r="B286" s="3">
        <v>1994</v>
      </c>
      <c r="C286" s="5">
        <v>2007</v>
      </c>
      <c r="D286" s="1">
        <v>4</v>
      </c>
      <c r="E286" s="8" t="s">
        <v>150</v>
      </c>
      <c r="F286" t="s">
        <v>149</v>
      </c>
    </row>
    <row r="287" spans="1:6" x14ac:dyDescent="0.3">
      <c r="A287" s="1">
        <v>2180</v>
      </c>
      <c r="B287" s="3">
        <v>1997</v>
      </c>
      <c r="C287" s="5">
        <v>1997</v>
      </c>
      <c r="D287" s="1">
        <v>1</v>
      </c>
      <c r="E287" s="8" t="s">
        <v>229</v>
      </c>
      <c r="F287" t="s">
        <v>149</v>
      </c>
    </row>
    <row r="288" spans="1:6" x14ac:dyDescent="0.3">
      <c r="A288" s="1">
        <v>2149</v>
      </c>
      <c r="B288" s="3">
        <v>2001</v>
      </c>
      <c r="C288" s="5">
        <v>2001</v>
      </c>
      <c r="D288" s="1">
        <v>1</v>
      </c>
      <c r="E288" s="8" t="s">
        <v>46</v>
      </c>
      <c r="F288" t="s">
        <v>149</v>
      </c>
    </row>
    <row r="289" spans="1:6" x14ac:dyDescent="0.3">
      <c r="A289" s="1">
        <v>1558</v>
      </c>
      <c r="B289" s="3">
        <v>2008</v>
      </c>
      <c r="C289" s="5">
        <v>2008</v>
      </c>
      <c r="D289" s="1">
        <v>1</v>
      </c>
      <c r="E289" s="8" t="s">
        <v>101</v>
      </c>
      <c r="F289" t="s">
        <v>149</v>
      </c>
    </row>
    <row r="290" spans="1:6" x14ac:dyDescent="0.3">
      <c r="A290" s="1">
        <v>2070</v>
      </c>
      <c r="B290" s="3">
        <v>2018</v>
      </c>
      <c r="C290" s="5">
        <v>2018</v>
      </c>
      <c r="D290" s="1">
        <v>1</v>
      </c>
      <c r="E290" s="8" t="s">
        <v>78</v>
      </c>
      <c r="F290" t="s">
        <v>149</v>
      </c>
    </row>
    <row r="291" spans="1:6" x14ac:dyDescent="0.3">
      <c r="A291" s="1">
        <v>1841</v>
      </c>
      <c r="B291" s="3">
        <v>2012</v>
      </c>
      <c r="C291" s="5">
        <v>2012</v>
      </c>
      <c r="D291" s="1">
        <v>1</v>
      </c>
      <c r="E291" s="8" t="s">
        <v>284</v>
      </c>
      <c r="F291" t="s">
        <v>163</v>
      </c>
    </row>
    <row r="292" spans="1:6" x14ac:dyDescent="0.3">
      <c r="A292" s="1">
        <v>1912</v>
      </c>
      <c r="B292" s="3">
        <v>2012</v>
      </c>
      <c r="C292" s="5">
        <v>2012</v>
      </c>
      <c r="D292" s="1">
        <v>1</v>
      </c>
      <c r="E292" s="8" t="s">
        <v>123</v>
      </c>
      <c r="F292" t="s">
        <v>163</v>
      </c>
    </row>
    <row r="293" spans="1:6" x14ac:dyDescent="0.3">
      <c r="A293" s="1">
        <v>1866</v>
      </c>
      <c r="B293" s="3">
        <v>2013</v>
      </c>
      <c r="C293" s="5">
        <v>2013</v>
      </c>
      <c r="D293" s="1">
        <v>1</v>
      </c>
      <c r="E293" s="8" t="s">
        <v>286</v>
      </c>
      <c r="F293" t="s">
        <v>163</v>
      </c>
    </row>
    <row r="294" spans="1:6" x14ac:dyDescent="0.3">
      <c r="A294" s="1">
        <v>1892</v>
      </c>
      <c r="B294" s="3">
        <v>2014</v>
      </c>
      <c r="C294" s="5">
        <v>2014</v>
      </c>
      <c r="D294" s="1">
        <v>1</v>
      </c>
      <c r="E294" s="8" t="s">
        <v>284</v>
      </c>
      <c r="F294" t="s">
        <v>163</v>
      </c>
    </row>
    <row r="295" spans="1:6" x14ac:dyDescent="0.3">
      <c r="A295" s="1">
        <v>2155</v>
      </c>
      <c r="B295" s="3">
        <v>2014</v>
      </c>
      <c r="C295" s="5">
        <v>2017</v>
      </c>
      <c r="D295" s="1">
        <v>4</v>
      </c>
      <c r="E295" s="8" t="s">
        <v>284</v>
      </c>
      <c r="F295" t="s">
        <v>163</v>
      </c>
    </row>
    <row r="296" spans="1:6" x14ac:dyDescent="0.3">
      <c r="A296" s="1">
        <v>1817</v>
      </c>
      <c r="B296" s="3">
        <v>2015</v>
      </c>
      <c r="C296" s="5">
        <v>2015</v>
      </c>
      <c r="D296" s="1">
        <v>1</v>
      </c>
      <c r="E296" s="8" t="s">
        <v>285</v>
      </c>
      <c r="F296" t="s">
        <v>163</v>
      </c>
    </row>
    <row r="297" spans="1:6" x14ac:dyDescent="0.3">
      <c r="A297" s="1">
        <v>1946</v>
      </c>
      <c r="B297" s="3">
        <v>2015</v>
      </c>
      <c r="C297" s="5">
        <v>2015</v>
      </c>
      <c r="D297" s="1">
        <v>1</v>
      </c>
      <c r="E297" s="8" t="s">
        <v>287</v>
      </c>
      <c r="F297" t="s">
        <v>163</v>
      </c>
    </row>
    <row r="298" spans="1:6" x14ac:dyDescent="0.3">
      <c r="A298" s="1">
        <v>1974</v>
      </c>
      <c r="B298" s="3">
        <v>2016</v>
      </c>
      <c r="C298" s="5">
        <v>2016</v>
      </c>
      <c r="D298" s="1">
        <v>1</v>
      </c>
      <c r="E298" s="8" t="s">
        <v>287</v>
      </c>
      <c r="F298" t="s">
        <v>163</v>
      </c>
    </row>
    <row r="299" spans="1:6" x14ac:dyDescent="0.3">
      <c r="A299" s="1">
        <v>1976</v>
      </c>
      <c r="B299" s="3">
        <v>2016</v>
      </c>
      <c r="C299" s="5">
        <v>2016</v>
      </c>
      <c r="D299" s="1">
        <v>1</v>
      </c>
      <c r="E299" s="8" t="s">
        <v>287</v>
      </c>
      <c r="F299" t="s">
        <v>163</v>
      </c>
    </row>
    <row r="300" spans="1:6" x14ac:dyDescent="0.3">
      <c r="A300" s="1">
        <v>2130</v>
      </c>
      <c r="B300" s="3">
        <v>2016</v>
      </c>
      <c r="C300" s="5">
        <v>2016</v>
      </c>
      <c r="D300" s="1">
        <v>1</v>
      </c>
      <c r="E300" s="8" t="s">
        <v>287</v>
      </c>
      <c r="F300" t="s">
        <v>163</v>
      </c>
    </row>
    <row r="301" spans="1:6" x14ac:dyDescent="0.3">
      <c r="A301" s="1">
        <v>2136</v>
      </c>
      <c r="B301" s="3">
        <v>2016</v>
      </c>
      <c r="C301" s="5">
        <v>2016</v>
      </c>
      <c r="D301" s="1">
        <v>1</v>
      </c>
      <c r="E301" s="8" t="s">
        <v>132</v>
      </c>
      <c r="F301" t="s">
        <v>163</v>
      </c>
    </row>
    <row r="302" spans="1:6" x14ac:dyDescent="0.3">
      <c r="A302" s="1">
        <v>2196</v>
      </c>
      <c r="B302" s="3">
        <v>2016</v>
      </c>
      <c r="C302" s="5">
        <v>2016</v>
      </c>
      <c r="D302" s="1">
        <v>1</v>
      </c>
      <c r="E302" s="8" t="s">
        <v>132</v>
      </c>
      <c r="F302" t="s">
        <v>163</v>
      </c>
    </row>
    <row r="303" spans="1:6" x14ac:dyDescent="0.3">
      <c r="A303" s="1">
        <v>2252</v>
      </c>
      <c r="B303" s="3">
        <v>2016</v>
      </c>
      <c r="C303" s="5">
        <v>2016</v>
      </c>
      <c r="D303" s="1">
        <v>1</v>
      </c>
      <c r="E303" s="8" t="s">
        <v>132</v>
      </c>
      <c r="F303" t="s">
        <v>163</v>
      </c>
    </row>
    <row r="304" spans="1:6" x14ac:dyDescent="0.3">
      <c r="A304" s="1">
        <v>2184</v>
      </c>
      <c r="B304" s="3">
        <v>2017</v>
      </c>
      <c r="C304" s="5">
        <v>2017</v>
      </c>
      <c r="D304" s="1">
        <v>1</v>
      </c>
      <c r="E304" s="8" t="s">
        <v>132</v>
      </c>
      <c r="F304" t="s">
        <v>163</v>
      </c>
    </row>
    <row r="305" spans="1:6" x14ac:dyDescent="0.3">
      <c r="A305" s="1">
        <v>1889</v>
      </c>
      <c r="B305" s="3">
        <v>2010</v>
      </c>
      <c r="C305" s="5">
        <v>2011</v>
      </c>
      <c r="D305" s="1">
        <v>2</v>
      </c>
      <c r="E305" s="8" t="s">
        <v>78</v>
      </c>
      <c r="F305" t="s">
        <v>288</v>
      </c>
    </row>
    <row r="306" spans="1:6" x14ac:dyDescent="0.3">
      <c r="A306" s="1">
        <v>1320</v>
      </c>
      <c r="B306" s="3">
        <v>2013</v>
      </c>
      <c r="C306" s="5">
        <v>2013</v>
      </c>
      <c r="D306" s="1">
        <v>1</v>
      </c>
      <c r="E306" s="8" t="s">
        <v>78</v>
      </c>
      <c r="F306" t="s">
        <v>288</v>
      </c>
    </row>
    <row r="307" spans="1:6" x14ac:dyDescent="0.3">
      <c r="A307" s="1">
        <v>1800</v>
      </c>
      <c r="B307" s="3">
        <v>2014</v>
      </c>
      <c r="C307" s="5">
        <v>2014</v>
      </c>
      <c r="D307" s="1">
        <v>1</v>
      </c>
      <c r="E307" s="8" t="s">
        <v>78</v>
      </c>
      <c r="F307" t="s">
        <v>288</v>
      </c>
    </row>
    <row r="308" spans="1:6" x14ac:dyDescent="0.3">
      <c r="A308" s="1">
        <v>1835</v>
      </c>
      <c r="B308" s="3">
        <v>2014</v>
      </c>
      <c r="C308" s="5">
        <v>2014</v>
      </c>
      <c r="D308" s="1">
        <v>1</v>
      </c>
      <c r="E308" s="8" t="s">
        <v>78</v>
      </c>
      <c r="F308" t="s">
        <v>288</v>
      </c>
    </row>
    <row r="309" spans="1:6" x14ac:dyDescent="0.3">
      <c r="A309" s="1">
        <v>1856</v>
      </c>
      <c r="B309" s="3">
        <v>2014</v>
      </c>
      <c r="C309" s="5">
        <v>2014</v>
      </c>
      <c r="D309" s="1">
        <v>1</v>
      </c>
      <c r="E309" s="8" t="s">
        <v>78</v>
      </c>
      <c r="F309" t="s">
        <v>288</v>
      </c>
    </row>
    <row r="310" spans="1:6" x14ac:dyDescent="0.3">
      <c r="A310" s="1">
        <v>1975</v>
      </c>
      <c r="B310" s="3">
        <v>2016</v>
      </c>
      <c r="C310" s="5">
        <v>2016</v>
      </c>
      <c r="D310" s="1">
        <v>1</v>
      </c>
      <c r="E310" s="8" t="s">
        <v>78</v>
      </c>
      <c r="F310" t="s">
        <v>288</v>
      </c>
    </row>
    <row r="311" spans="1:6" x14ac:dyDescent="0.3">
      <c r="A311" s="1">
        <v>1979</v>
      </c>
      <c r="B311" s="3">
        <v>2016</v>
      </c>
      <c r="C311" s="5">
        <v>2016</v>
      </c>
      <c r="D311" s="1">
        <v>1</v>
      </c>
      <c r="E311" s="8" t="s">
        <v>78</v>
      </c>
      <c r="F311" t="s">
        <v>288</v>
      </c>
    </row>
    <row r="312" spans="1:6" x14ac:dyDescent="0.3">
      <c r="A312" s="1">
        <v>1971</v>
      </c>
      <c r="B312" s="3">
        <v>2016</v>
      </c>
      <c r="C312" s="5">
        <v>2017</v>
      </c>
      <c r="D312" s="1">
        <v>2</v>
      </c>
      <c r="E312" s="8" t="s">
        <v>78</v>
      </c>
      <c r="F312" t="s">
        <v>288</v>
      </c>
    </row>
    <row r="313" spans="1:6" x14ac:dyDescent="0.3">
      <c r="A313" s="1">
        <v>1349</v>
      </c>
      <c r="B313" s="3">
        <v>1994</v>
      </c>
      <c r="C313" s="5">
        <v>2008</v>
      </c>
      <c r="D313" s="1">
        <v>2</v>
      </c>
      <c r="E313" s="8" t="s">
        <v>61</v>
      </c>
    </row>
    <row r="314" spans="1:6" x14ac:dyDescent="0.3">
      <c r="A314" s="1">
        <v>1869</v>
      </c>
      <c r="B314" s="3">
        <v>2007</v>
      </c>
      <c r="C314" s="5">
        <v>2007</v>
      </c>
      <c r="D314" s="1">
        <v>1</v>
      </c>
      <c r="E314" s="8" t="s">
        <v>61</v>
      </c>
    </row>
    <row r="315" spans="1:6" x14ac:dyDescent="0.3">
      <c r="A315" s="1">
        <v>1176</v>
      </c>
      <c r="B315" s="3">
        <v>2008</v>
      </c>
      <c r="C315" s="5">
        <v>2009</v>
      </c>
      <c r="D315" s="1">
        <v>2</v>
      </c>
      <c r="E315" s="8" t="s">
        <v>61</v>
      </c>
    </row>
    <row r="316" spans="1:6" x14ac:dyDescent="0.3">
      <c r="A316" s="1">
        <v>1657</v>
      </c>
      <c r="B316" s="3">
        <v>2010</v>
      </c>
      <c r="C316" s="5">
        <v>2013</v>
      </c>
      <c r="D316" s="1">
        <v>3</v>
      </c>
      <c r="E316" s="8" t="s">
        <v>61</v>
      </c>
    </row>
    <row r="317" spans="1:6" x14ac:dyDescent="0.3">
      <c r="A317" s="1">
        <v>1659</v>
      </c>
      <c r="B317" s="3">
        <v>2013</v>
      </c>
      <c r="C317" s="5">
        <v>2013</v>
      </c>
      <c r="D317" s="1">
        <v>1</v>
      </c>
      <c r="E317" s="8" t="s">
        <v>61</v>
      </c>
    </row>
    <row r="318" spans="1:6" x14ac:dyDescent="0.3">
      <c r="A318" s="1">
        <v>1655</v>
      </c>
      <c r="B318" s="3">
        <v>2013</v>
      </c>
      <c r="C318" s="5">
        <v>2016</v>
      </c>
      <c r="D318" s="1">
        <v>2</v>
      </c>
      <c r="E318" s="8" t="s">
        <v>61</v>
      </c>
    </row>
    <row r="319" spans="1:6" x14ac:dyDescent="0.3">
      <c r="A319" s="1">
        <v>1658</v>
      </c>
      <c r="B319" s="3">
        <v>2013</v>
      </c>
      <c r="C319" s="5">
        <v>2016</v>
      </c>
      <c r="D319" s="1">
        <v>2</v>
      </c>
      <c r="E319" s="8" t="s">
        <v>61</v>
      </c>
    </row>
    <row r="320" spans="1:6" x14ac:dyDescent="0.3">
      <c r="A320" s="1">
        <v>1451</v>
      </c>
      <c r="B320" s="3">
        <v>2014</v>
      </c>
      <c r="C320" s="5">
        <v>2015</v>
      </c>
      <c r="D320" s="1">
        <v>2</v>
      </c>
      <c r="E320" s="8" t="s">
        <v>61</v>
      </c>
    </row>
    <row r="321" spans="1:5" x14ac:dyDescent="0.3">
      <c r="A321" s="1">
        <v>2055</v>
      </c>
      <c r="B321" s="3">
        <v>2016</v>
      </c>
      <c r="C321" s="5">
        <v>2016</v>
      </c>
      <c r="D321" s="1">
        <v>1</v>
      </c>
      <c r="E321" s="8" t="s">
        <v>61</v>
      </c>
    </row>
    <row r="322" spans="1:5" x14ac:dyDescent="0.3">
      <c r="A322" s="1">
        <v>1144</v>
      </c>
      <c r="B322" s="3">
        <v>1972</v>
      </c>
      <c r="C322" s="5">
        <v>2016</v>
      </c>
      <c r="D322" s="1">
        <v>16</v>
      </c>
      <c r="E322" s="8" t="s">
        <v>18</v>
      </c>
    </row>
    <row r="323" spans="1:5" x14ac:dyDescent="0.3">
      <c r="A323" s="1">
        <v>2185</v>
      </c>
      <c r="B323" s="3">
        <v>1981</v>
      </c>
      <c r="C323" s="5">
        <v>1981</v>
      </c>
      <c r="D323" s="1">
        <v>1</v>
      </c>
      <c r="E323" s="8" t="s">
        <v>18</v>
      </c>
    </row>
    <row r="324" spans="1:5" x14ac:dyDescent="0.3">
      <c r="A324" s="1">
        <v>1130</v>
      </c>
      <c r="B324" s="3">
        <v>1990</v>
      </c>
      <c r="C324" s="5">
        <v>2010</v>
      </c>
      <c r="D324" s="1">
        <v>11</v>
      </c>
      <c r="E324" s="8" t="s">
        <v>18</v>
      </c>
    </row>
    <row r="325" spans="1:5" x14ac:dyDescent="0.3">
      <c r="A325" s="1">
        <v>1025</v>
      </c>
      <c r="B325" s="3">
        <v>1991</v>
      </c>
      <c r="C325" s="5">
        <v>2010</v>
      </c>
      <c r="D325" s="1">
        <v>8</v>
      </c>
      <c r="E325" s="8" t="s">
        <v>18</v>
      </c>
    </row>
    <row r="326" spans="1:5" x14ac:dyDescent="0.3">
      <c r="A326" s="1">
        <v>1271</v>
      </c>
      <c r="B326" s="3">
        <v>1991</v>
      </c>
      <c r="C326" s="5">
        <v>2010</v>
      </c>
      <c r="D326" s="1">
        <v>5</v>
      </c>
      <c r="E326" s="8" t="s">
        <v>18</v>
      </c>
    </row>
    <row r="327" spans="1:5" x14ac:dyDescent="0.3">
      <c r="A327" s="1">
        <v>1783</v>
      </c>
      <c r="B327" s="3">
        <v>1991</v>
      </c>
      <c r="C327" s="5">
        <v>2017</v>
      </c>
      <c r="D327" s="1">
        <v>9</v>
      </c>
      <c r="E327" s="8" t="s">
        <v>18</v>
      </c>
    </row>
    <row r="328" spans="1:5" x14ac:dyDescent="0.3">
      <c r="A328" s="1">
        <v>1860</v>
      </c>
      <c r="B328" s="3">
        <v>1992</v>
      </c>
      <c r="C328" s="5">
        <v>2007</v>
      </c>
      <c r="D328" s="1">
        <v>5</v>
      </c>
      <c r="E328" s="8" t="s">
        <v>18</v>
      </c>
    </row>
    <row r="329" spans="1:5" x14ac:dyDescent="0.3">
      <c r="A329" s="1">
        <v>1247</v>
      </c>
      <c r="B329" s="3">
        <v>1992</v>
      </c>
      <c r="C329" s="5">
        <v>2012</v>
      </c>
      <c r="D329" s="1">
        <v>3</v>
      </c>
      <c r="E329" s="8" t="s">
        <v>18</v>
      </c>
    </row>
    <row r="330" spans="1:5" x14ac:dyDescent="0.3">
      <c r="A330" s="1">
        <v>1304</v>
      </c>
      <c r="B330" s="3">
        <v>1992</v>
      </c>
      <c r="C330" s="5">
        <v>2016</v>
      </c>
      <c r="D330" s="1">
        <v>20</v>
      </c>
      <c r="E330" s="8" t="s">
        <v>18</v>
      </c>
    </row>
    <row r="331" spans="1:5" x14ac:dyDescent="0.3">
      <c r="A331" s="1">
        <v>1871</v>
      </c>
      <c r="B331" s="3">
        <v>1995</v>
      </c>
      <c r="C331" s="5">
        <v>2007</v>
      </c>
      <c r="D331" s="1">
        <v>3</v>
      </c>
      <c r="E331" s="8" t="s">
        <v>18</v>
      </c>
    </row>
    <row r="332" spans="1:5" x14ac:dyDescent="0.3">
      <c r="A332" s="1">
        <v>1844</v>
      </c>
      <c r="B332" s="3">
        <v>1996</v>
      </c>
      <c r="C332" s="5">
        <v>2007</v>
      </c>
      <c r="D332" s="1">
        <v>2</v>
      </c>
      <c r="E332" s="8" t="s">
        <v>18</v>
      </c>
    </row>
    <row r="333" spans="1:5" x14ac:dyDescent="0.3">
      <c r="A333" s="1">
        <v>2089</v>
      </c>
      <c r="B333" s="3">
        <v>1998</v>
      </c>
      <c r="C333" s="5">
        <v>1998</v>
      </c>
      <c r="D333" s="1">
        <v>1</v>
      </c>
      <c r="E333" s="8" t="s">
        <v>18</v>
      </c>
    </row>
    <row r="334" spans="1:5" x14ac:dyDescent="0.3">
      <c r="A334" s="1">
        <v>1803</v>
      </c>
      <c r="B334" s="3">
        <v>2007</v>
      </c>
      <c r="C334" s="5">
        <v>2007</v>
      </c>
      <c r="D334" s="1">
        <v>1</v>
      </c>
      <c r="E334" s="8" t="s">
        <v>18</v>
      </c>
    </row>
    <row r="335" spans="1:5" x14ac:dyDescent="0.3">
      <c r="A335" s="1">
        <v>1805</v>
      </c>
      <c r="B335" s="3">
        <v>2007</v>
      </c>
      <c r="C335" s="5">
        <v>2007</v>
      </c>
      <c r="D335" s="1">
        <v>1</v>
      </c>
      <c r="E335" s="8" t="s">
        <v>18</v>
      </c>
    </row>
    <row r="336" spans="1:5" x14ac:dyDescent="0.3">
      <c r="A336" s="1">
        <v>1131</v>
      </c>
      <c r="B336" s="3">
        <v>2007</v>
      </c>
      <c r="C336" s="5">
        <v>2009</v>
      </c>
      <c r="D336" s="1">
        <v>2</v>
      </c>
      <c r="E336" s="8" t="s">
        <v>18</v>
      </c>
    </row>
    <row r="337" spans="1:5" x14ac:dyDescent="0.3">
      <c r="A337" s="1">
        <v>1769</v>
      </c>
      <c r="B337" s="3">
        <v>2007</v>
      </c>
      <c r="C337" s="5">
        <v>2009</v>
      </c>
      <c r="D337" s="1">
        <v>2</v>
      </c>
      <c r="E337" s="8" t="s">
        <v>18</v>
      </c>
    </row>
    <row r="338" spans="1:5" x14ac:dyDescent="0.3">
      <c r="A338" s="1">
        <v>1542</v>
      </c>
      <c r="B338" s="3">
        <v>2007</v>
      </c>
      <c r="C338" s="5">
        <v>2013</v>
      </c>
      <c r="D338" s="1">
        <v>5</v>
      </c>
      <c r="E338" s="8" t="s">
        <v>18</v>
      </c>
    </row>
    <row r="339" spans="1:5" x14ac:dyDescent="0.3">
      <c r="A339" s="1">
        <v>1768</v>
      </c>
      <c r="B339" s="3">
        <v>2007</v>
      </c>
      <c r="C339" s="5">
        <v>2013</v>
      </c>
      <c r="D339" s="1">
        <v>3</v>
      </c>
      <c r="E339" s="8" t="s">
        <v>18</v>
      </c>
    </row>
    <row r="340" spans="1:5" x14ac:dyDescent="0.3">
      <c r="A340" s="1">
        <v>1264</v>
      </c>
      <c r="B340" s="3">
        <v>2007</v>
      </c>
      <c r="C340" s="5">
        <v>2015</v>
      </c>
      <c r="D340" s="1">
        <v>6</v>
      </c>
      <c r="E340" s="8" t="s">
        <v>18</v>
      </c>
    </row>
    <row r="341" spans="1:5" x14ac:dyDescent="0.3">
      <c r="A341" s="1">
        <v>1298</v>
      </c>
      <c r="B341" s="3">
        <v>2007</v>
      </c>
      <c r="C341" s="5">
        <v>2016</v>
      </c>
      <c r="D341" s="1">
        <v>7</v>
      </c>
      <c r="E341" s="8" t="s">
        <v>18</v>
      </c>
    </row>
    <row r="342" spans="1:5" x14ac:dyDescent="0.3">
      <c r="A342" s="1">
        <v>1510</v>
      </c>
      <c r="B342" s="3">
        <v>2007</v>
      </c>
      <c r="C342" s="5">
        <v>2016</v>
      </c>
      <c r="D342" s="1">
        <v>15</v>
      </c>
      <c r="E342" s="8" t="s">
        <v>18</v>
      </c>
    </row>
    <row r="343" spans="1:5" x14ac:dyDescent="0.3">
      <c r="A343" s="1">
        <v>1043</v>
      </c>
      <c r="B343" s="3">
        <v>2007</v>
      </c>
      <c r="C343" s="5">
        <v>2017</v>
      </c>
      <c r="D343" s="1">
        <v>11</v>
      </c>
      <c r="E343" s="8" t="s">
        <v>18</v>
      </c>
    </row>
    <row r="344" spans="1:5" x14ac:dyDescent="0.3">
      <c r="A344" s="1">
        <v>1065</v>
      </c>
      <c r="B344" s="3">
        <v>2008</v>
      </c>
      <c r="C344" s="5">
        <v>2008</v>
      </c>
      <c r="D344" s="1">
        <v>2</v>
      </c>
      <c r="E344" s="8" t="s">
        <v>18</v>
      </c>
    </row>
    <row r="345" spans="1:5" x14ac:dyDescent="0.3">
      <c r="A345" s="1">
        <v>1207</v>
      </c>
      <c r="B345" s="3">
        <v>2009</v>
      </c>
      <c r="C345" s="5">
        <v>2009</v>
      </c>
      <c r="D345" s="1">
        <v>1</v>
      </c>
      <c r="E345" s="8" t="s">
        <v>18</v>
      </c>
    </row>
    <row r="346" spans="1:5" x14ac:dyDescent="0.3">
      <c r="A346" s="1">
        <v>1537</v>
      </c>
      <c r="B346" s="3">
        <v>2009</v>
      </c>
      <c r="C346" s="5">
        <v>2009</v>
      </c>
      <c r="D346" s="1">
        <v>1</v>
      </c>
      <c r="E346" s="8" t="s">
        <v>18</v>
      </c>
    </row>
    <row r="347" spans="1:5" x14ac:dyDescent="0.3">
      <c r="A347" s="1">
        <v>1529</v>
      </c>
      <c r="B347" s="3">
        <v>2009</v>
      </c>
      <c r="C347" s="5">
        <v>2012</v>
      </c>
      <c r="D347" s="1">
        <v>4</v>
      </c>
      <c r="E347" s="8" t="s">
        <v>18</v>
      </c>
    </row>
    <row r="348" spans="1:5" x14ac:dyDescent="0.3">
      <c r="A348" s="1">
        <v>1308</v>
      </c>
      <c r="B348" s="3">
        <v>2009</v>
      </c>
      <c r="C348" s="5">
        <v>2015</v>
      </c>
      <c r="D348" s="1">
        <v>4</v>
      </c>
      <c r="E348" s="8" t="s">
        <v>18</v>
      </c>
    </row>
    <row r="349" spans="1:5" x14ac:dyDescent="0.3">
      <c r="A349" s="1">
        <v>1541</v>
      </c>
      <c r="B349" s="3">
        <v>2011</v>
      </c>
      <c r="C349" s="5">
        <v>2011</v>
      </c>
      <c r="D349" s="1">
        <v>1</v>
      </c>
      <c r="E349" s="8" t="s">
        <v>18</v>
      </c>
    </row>
    <row r="350" spans="1:5" x14ac:dyDescent="0.3">
      <c r="A350" s="1">
        <v>1206</v>
      </c>
      <c r="B350" s="3">
        <v>2011</v>
      </c>
      <c r="C350" s="5">
        <v>2016</v>
      </c>
      <c r="D350" s="1">
        <v>2</v>
      </c>
      <c r="E350" s="8" t="s">
        <v>18</v>
      </c>
    </row>
    <row r="351" spans="1:5" x14ac:dyDescent="0.3">
      <c r="A351" s="1">
        <v>1527</v>
      </c>
      <c r="B351" s="3">
        <v>2012</v>
      </c>
      <c r="C351" s="5">
        <v>2012</v>
      </c>
      <c r="D351" s="1">
        <v>1</v>
      </c>
      <c r="E351" s="8" t="s">
        <v>18</v>
      </c>
    </row>
    <row r="352" spans="1:5" x14ac:dyDescent="0.3">
      <c r="A352" s="1">
        <v>1488</v>
      </c>
      <c r="B352" s="3">
        <v>2012</v>
      </c>
      <c r="C352" s="5">
        <v>2013</v>
      </c>
      <c r="D352" s="1">
        <v>4</v>
      </c>
      <c r="E352" s="8" t="s">
        <v>18</v>
      </c>
    </row>
    <row r="353" spans="1:5" x14ac:dyDescent="0.3">
      <c r="A353" s="1">
        <v>1243</v>
      </c>
      <c r="B353" s="3">
        <v>2014</v>
      </c>
      <c r="C353" s="5">
        <v>2014</v>
      </c>
      <c r="D353" s="1">
        <v>1</v>
      </c>
      <c r="E353" s="8" t="s">
        <v>18</v>
      </c>
    </row>
    <row r="354" spans="1:5" x14ac:dyDescent="0.3">
      <c r="A354" s="1">
        <v>2032</v>
      </c>
      <c r="B354" s="3">
        <v>2016</v>
      </c>
      <c r="C354" s="5">
        <v>2016</v>
      </c>
      <c r="D354" s="1">
        <v>1</v>
      </c>
      <c r="E354" s="8" t="s">
        <v>18</v>
      </c>
    </row>
    <row r="355" spans="1:5" x14ac:dyDescent="0.3">
      <c r="A355" s="1">
        <v>2106</v>
      </c>
      <c r="B355" s="3">
        <v>2016</v>
      </c>
      <c r="C355" s="5">
        <v>2016</v>
      </c>
      <c r="D355" s="1">
        <v>1</v>
      </c>
      <c r="E355" s="8" t="s">
        <v>18</v>
      </c>
    </row>
    <row r="356" spans="1:5" x14ac:dyDescent="0.3">
      <c r="A356" s="1">
        <v>1507</v>
      </c>
      <c r="B356" s="3">
        <v>2011</v>
      </c>
      <c r="C356" s="5">
        <v>2014</v>
      </c>
      <c r="D356" s="1">
        <v>4</v>
      </c>
      <c r="E356" s="8" t="s">
        <v>110</v>
      </c>
    </row>
    <row r="357" spans="1:5" x14ac:dyDescent="0.3">
      <c r="A357" s="1">
        <v>1732</v>
      </c>
      <c r="B357" s="3">
        <v>2013</v>
      </c>
      <c r="C357" s="5">
        <v>2013</v>
      </c>
      <c r="D357" s="1">
        <v>1</v>
      </c>
      <c r="E357" s="8" t="s">
        <v>110</v>
      </c>
    </row>
    <row r="358" spans="1:5" x14ac:dyDescent="0.3">
      <c r="A358" s="1">
        <v>1973</v>
      </c>
      <c r="B358" s="3">
        <v>2016</v>
      </c>
      <c r="C358" s="5">
        <v>2016</v>
      </c>
      <c r="D358" s="1">
        <v>1</v>
      </c>
      <c r="E358" s="8" t="s">
        <v>110</v>
      </c>
    </row>
    <row r="359" spans="1:5" x14ac:dyDescent="0.3">
      <c r="A359" s="1">
        <v>1061</v>
      </c>
      <c r="B359" s="3">
        <v>1990</v>
      </c>
      <c r="C359" s="5">
        <v>2017</v>
      </c>
      <c r="D359" s="1">
        <v>23</v>
      </c>
      <c r="E359" s="8" t="s">
        <v>30</v>
      </c>
    </row>
    <row r="360" spans="1:5" x14ac:dyDescent="0.3">
      <c r="A360" s="1">
        <v>2235</v>
      </c>
      <c r="B360" s="3">
        <v>1994</v>
      </c>
      <c r="C360" s="5">
        <v>1994</v>
      </c>
      <c r="D360" s="1">
        <v>1</v>
      </c>
      <c r="E360" s="8" t="s">
        <v>30</v>
      </c>
    </row>
    <row r="361" spans="1:5" x14ac:dyDescent="0.3">
      <c r="A361" s="1">
        <v>2248</v>
      </c>
      <c r="B361" s="3">
        <v>1994</v>
      </c>
      <c r="C361" s="5">
        <v>1994</v>
      </c>
      <c r="D361" s="1">
        <v>1</v>
      </c>
      <c r="E361" s="8" t="s">
        <v>30</v>
      </c>
    </row>
    <row r="362" spans="1:5" x14ac:dyDescent="0.3">
      <c r="A362" s="1">
        <v>1182</v>
      </c>
      <c r="B362" s="3">
        <v>1996</v>
      </c>
      <c r="C362" s="5">
        <v>2014</v>
      </c>
      <c r="D362" s="1">
        <v>2</v>
      </c>
      <c r="E362" s="8" t="s">
        <v>30</v>
      </c>
    </row>
    <row r="363" spans="1:5" x14ac:dyDescent="0.3">
      <c r="A363" s="1">
        <v>1181</v>
      </c>
      <c r="B363" s="3">
        <v>1996</v>
      </c>
      <c r="C363" s="5">
        <v>2017</v>
      </c>
      <c r="D363" s="1">
        <v>25</v>
      </c>
      <c r="E363" s="8" t="s">
        <v>30</v>
      </c>
    </row>
    <row r="364" spans="1:5" x14ac:dyDescent="0.3">
      <c r="A364" s="1">
        <v>2120</v>
      </c>
      <c r="B364" s="3">
        <v>1996</v>
      </c>
      <c r="C364" s="5">
        <v>1996</v>
      </c>
      <c r="D364" s="1">
        <v>1</v>
      </c>
      <c r="E364" s="8" t="s">
        <v>30</v>
      </c>
    </row>
    <row r="365" spans="1:5" x14ac:dyDescent="0.3">
      <c r="A365" s="1">
        <v>1118</v>
      </c>
      <c r="B365" s="3">
        <v>2007</v>
      </c>
      <c r="C365" s="5">
        <v>2012</v>
      </c>
      <c r="D365" s="1">
        <v>9</v>
      </c>
      <c r="E365" s="8" t="s">
        <v>30</v>
      </c>
    </row>
    <row r="366" spans="1:5" x14ac:dyDescent="0.3">
      <c r="A366" s="1">
        <v>1102</v>
      </c>
      <c r="B366" s="3">
        <v>2007</v>
      </c>
      <c r="C366" s="5">
        <v>2017</v>
      </c>
      <c r="D366" s="1">
        <v>10</v>
      </c>
      <c r="E366" s="8" t="s">
        <v>30</v>
      </c>
    </row>
    <row r="367" spans="1:5" x14ac:dyDescent="0.3">
      <c r="A367" s="1">
        <v>1050</v>
      </c>
      <c r="B367" s="3">
        <v>2010</v>
      </c>
      <c r="C367" s="5">
        <v>2010</v>
      </c>
      <c r="D367" s="1">
        <v>1</v>
      </c>
      <c r="E367" s="8" t="s">
        <v>30</v>
      </c>
    </row>
    <row r="368" spans="1:5" x14ac:dyDescent="0.3">
      <c r="A368" s="1">
        <v>1183</v>
      </c>
      <c r="B368" s="3">
        <v>2010</v>
      </c>
      <c r="C368" s="5">
        <v>2010</v>
      </c>
      <c r="D368" s="1">
        <v>1</v>
      </c>
      <c r="E368" s="8" t="s">
        <v>30</v>
      </c>
    </row>
    <row r="369" spans="1:5" x14ac:dyDescent="0.3">
      <c r="A369" s="1">
        <v>1833</v>
      </c>
      <c r="B369" s="3">
        <v>2015</v>
      </c>
      <c r="C369" s="5">
        <v>2015</v>
      </c>
      <c r="D369" s="1">
        <v>1</v>
      </c>
      <c r="E369" s="8" t="s">
        <v>30</v>
      </c>
    </row>
    <row r="370" spans="1:5" x14ac:dyDescent="0.3">
      <c r="A370" s="1">
        <v>2000</v>
      </c>
      <c r="B370" s="3">
        <v>2016</v>
      </c>
      <c r="C370" s="5">
        <v>2016</v>
      </c>
      <c r="D370" s="1">
        <v>1</v>
      </c>
      <c r="E370" s="8" t="s">
        <v>30</v>
      </c>
    </row>
    <row r="371" spans="1:5" x14ac:dyDescent="0.3">
      <c r="A371" s="1">
        <v>2107</v>
      </c>
      <c r="B371" s="3">
        <v>2017</v>
      </c>
      <c r="C371" s="5">
        <v>2017</v>
      </c>
      <c r="D371" s="1">
        <v>1</v>
      </c>
      <c r="E371" s="8" t="s">
        <v>30</v>
      </c>
    </row>
    <row r="372" spans="1:5" x14ac:dyDescent="0.3">
      <c r="A372" s="1">
        <v>1438</v>
      </c>
      <c r="B372" s="3">
        <v>2007</v>
      </c>
      <c r="C372" s="5">
        <v>2017</v>
      </c>
      <c r="D372" s="1">
        <v>8</v>
      </c>
      <c r="E372" s="8" t="s">
        <v>71</v>
      </c>
    </row>
    <row r="373" spans="1:5" x14ac:dyDescent="0.3">
      <c r="A373" s="1">
        <v>1572</v>
      </c>
      <c r="B373" s="3">
        <v>2010</v>
      </c>
      <c r="C373" s="5">
        <v>2010</v>
      </c>
      <c r="D373" s="1">
        <v>1</v>
      </c>
      <c r="E373" s="8" t="s">
        <v>71</v>
      </c>
    </row>
    <row r="374" spans="1:5" x14ac:dyDescent="0.3">
      <c r="A374" s="1">
        <v>1256</v>
      </c>
      <c r="B374" s="3">
        <v>2014</v>
      </c>
      <c r="C374" s="5">
        <v>2014</v>
      </c>
      <c r="D374" s="1">
        <v>1</v>
      </c>
      <c r="E374" s="8" t="s">
        <v>71</v>
      </c>
    </row>
    <row r="375" spans="1:5" x14ac:dyDescent="0.3">
      <c r="A375" s="1">
        <v>1441</v>
      </c>
      <c r="B375" s="3">
        <v>2014</v>
      </c>
      <c r="C375" s="5">
        <v>2014</v>
      </c>
      <c r="D375" s="1">
        <v>1</v>
      </c>
      <c r="E375" s="8" t="s">
        <v>71</v>
      </c>
    </row>
    <row r="376" spans="1:5" x14ac:dyDescent="0.3">
      <c r="A376" s="1">
        <v>1211</v>
      </c>
      <c r="B376" s="3">
        <v>1994</v>
      </c>
      <c r="C376" s="5">
        <v>2008</v>
      </c>
      <c r="D376" s="1">
        <v>2</v>
      </c>
      <c r="E376" s="8" t="s">
        <v>64</v>
      </c>
    </row>
    <row r="377" spans="1:5" x14ac:dyDescent="0.3">
      <c r="A377" s="1">
        <v>2125</v>
      </c>
      <c r="B377" s="3">
        <v>1997</v>
      </c>
      <c r="C377" s="5">
        <v>2004</v>
      </c>
      <c r="D377" s="1">
        <v>6</v>
      </c>
      <c r="E377" s="8" t="s">
        <v>64</v>
      </c>
    </row>
    <row r="378" spans="1:5" x14ac:dyDescent="0.3">
      <c r="A378" s="1">
        <v>2111</v>
      </c>
      <c r="B378" s="3">
        <v>2002</v>
      </c>
      <c r="C378" s="5">
        <v>2002</v>
      </c>
      <c r="D378" s="1">
        <v>1</v>
      </c>
      <c r="E378" s="8" t="s">
        <v>64</v>
      </c>
    </row>
    <row r="379" spans="1:5" x14ac:dyDescent="0.3">
      <c r="A379" s="1">
        <v>1546</v>
      </c>
      <c r="B379" s="3">
        <v>2008</v>
      </c>
      <c r="C379" s="5">
        <v>2010</v>
      </c>
      <c r="D379" s="1">
        <v>2</v>
      </c>
      <c r="E379" s="8" t="s">
        <v>64</v>
      </c>
    </row>
    <row r="380" spans="1:5" x14ac:dyDescent="0.3">
      <c r="A380" s="1">
        <v>1212</v>
      </c>
      <c r="B380" s="3">
        <v>2009</v>
      </c>
      <c r="C380" s="5">
        <v>2017</v>
      </c>
      <c r="D380" s="1">
        <v>2</v>
      </c>
      <c r="E380" s="8" t="s">
        <v>64</v>
      </c>
    </row>
    <row r="381" spans="1:5" x14ac:dyDescent="0.3">
      <c r="A381" s="1">
        <v>2053</v>
      </c>
      <c r="B381" s="3">
        <v>2016</v>
      </c>
      <c r="C381" s="5">
        <v>2016</v>
      </c>
      <c r="D381" s="1">
        <v>2</v>
      </c>
      <c r="E381" s="8" t="s">
        <v>64</v>
      </c>
    </row>
    <row r="382" spans="1:5" x14ac:dyDescent="0.3">
      <c r="A382" s="1">
        <v>2066</v>
      </c>
      <c r="B382" s="3">
        <v>2017</v>
      </c>
      <c r="C382" s="5">
        <v>2017</v>
      </c>
      <c r="D382" s="1">
        <v>2</v>
      </c>
      <c r="E382" s="8" t="s">
        <v>64</v>
      </c>
    </row>
    <row r="383" spans="1:5" x14ac:dyDescent="0.3">
      <c r="A383" s="1">
        <v>2067</v>
      </c>
      <c r="B383" s="3">
        <v>2017</v>
      </c>
      <c r="C383" s="5">
        <v>2017</v>
      </c>
      <c r="D383" s="1">
        <v>3</v>
      </c>
      <c r="E383" s="8" t="s">
        <v>64</v>
      </c>
    </row>
    <row r="384" spans="1:5" x14ac:dyDescent="0.3">
      <c r="A384" s="1">
        <v>2104</v>
      </c>
      <c r="B384" s="3">
        <v>2017</v>
      </c>
      <c r="C384" s="5">
        <v>2017</v>
      </c>
      <c r="D384" s="1">
        <v>1</v>
      </c>
      <c r="E384" s="8" t="s">
        <v>64</v>
      </c>
    </row>
    <row r="385" spans="1:5" x14ac:dyDescent="0.3">
      <c r="A385" s="1">
        <v>2134</v>
      </c>
      <c r="B385" s="3">
        <v>2017</v>
      </c>
      <c r="C385" s="5">
        <v>2017</v>
      </c>
      <c r="D385" s="1">
        <v>2</v>
      </c>
      <c r="E385" s="8" t="s">
        <v>64</v>
      </c>
    </row>
    <row r="386" spans="1:5" x14ac:dyDescent="0.3">
      <c r="A386" s="1">
        <v>2172</v>
      </c>
      <c r="B386" s="3">
        <v>2017</v>
      </c>
      <c r="C386" s="5">
        <v>2017</v>
      </c>
      <c r="D386" s="1">
        <v>1</v>
      </c>
      <c r="E386" s="8" t="s">
        <v>64</v>
      </c>
    </row>
    <row r="387" spans="1:5" x14ac:dyDescent="0.3">
      <c r="A387" s="1">
        <v>2188</v>
      </c>
      <c r="B387" s="3">
        <v>2017</v>
      </c>
      <c r="C387" s="5">
        <v>2017</v>
      </c>
      <c r="D387" s="1">
        <v>1</v>
      </c>
      <c r="E387" s="8" t="s">
        <v>64</v>
      </c>
    </row>
    <row r="388" spans="1:5" x14ac:dyDescent="0.3">
      <c r="A388" s="1">
        <v>1157</v>
      </c>
      <c r="B388" s="3">
        <v>1983</v>
      </c>
      <c r="C388" s="5">
        <v>2012</v>
      </c>
      <c r="D388" s="1">
        <v>20</v>
      </c>
      <c r="E388" s="8" t="s">
        <v>33</v>
      </c>
    </row>
    <row r="389" spans="1:5" x14ac:dyDescent="0.3">
      <c r="A389" s="1">
        <v>1124</v>
      </c>
      <c r="B389" s="3">
        <v>1990</v>
      </c>
      <c r="C389" s="5">
        <v>2009</v>
      </c>
      <c r="D389" s="1">
        <v>10</v>
      </c>
      <c r="E389" s="8" t="s">
        <v>33</v>
      </c>
    </row>
    <row r="390" spans="1:5" x14ac:dyDescent="0.3">
      <c r="A390" s="1">
        <v>2127</v>
      </c>
      <c r="B390" s="3">
        <v>1990</v>
      </c>
      <c r="C390" s="5">
        <v>1992</v>
      </c>
      <c r="D390" s="1">
        <v>2</v>
      </c>
      <c r="E390" s="8" t="s">
        <v>33</v>
      </c>
    </row>
    <row r="391" spans="1:5" x14ac:dyDescent="0.3">
      <c r="A391" s="1">
        <v>2147</v>
      </c>
      <c r="B391" s="3">
        <v>1990</v>
      </c>
      <c r="C391" s="5">
        <v>1998</v>
      </c>
      <c r="D391" s="1">
        <v>7</v>
      </c>
      <c r="E391" s="8" t="s">
        <v>33</v>
      </c>
    </row>
    <row r="392" spans="1:5" x14ac:dyDescent="0.3">
      <c r="A392" s="1">
        <v>1430</v>
      </c>
      <c r="B392" s="3">
        <v>1992</v>
      </c>
      <c r="C392" s="5">
        <v>2008</v>
      </c>
      <c r="D392" s="1">
        <v>3</v>
      </c>
      <c r="E392" s="8" t="s">
        <v>33</v>
      </c>
    </row>
    <row r="393" spans="1:5" x14ac:dyDescent="0.3">
      <c r="A393" s="1">
        <v>1759</v>
      </c>
      <c r="B393" s="3">
        <v>1994</v>
      </c>
      <c r="C393" s="5">
        <v>2013</v>
      </c>
      <c r="D393" s="1">
        <v>4</v>
      </c>
      <c r="E393" s="8" t="s">
        <v>33</v>
      </c>
    </row>
    <row r="394" spans="1:5" x14ac:dyDescent="0.3">
      <c r="A394" s="1">
        <v>1760</v>
      </c>
      <c r="B394" s="3">
        <v>1995</v>
      </c>
      <c r="C394" s="5">
        <v>2017</v>
      </c>
      <c r="D394" s="1">
        <v>12</v>
      </c>
      <c r="E394" s="8" t="s">
        <v>33</v>
      </c>
    </row>
    <row r="395" spans="1:5" x14ac:dyDescent="0.3">
      <c r="A395" s="1">
        <v>1653</v>
      </c>
      <c r="B395" s="3">
        <v>1996</v>
      </c>
      <c r="C395" s="5">
        <v>2009</v>
      </c>
      <c r="D395" s="1">
        <v>2</v>
      </c>
      <c r="E395" s="8" t="s">
        <v>33</v>
      </c>
    </row>
    <row r="396" spans="1:5" x14ac:dyDescent="0.3">
      <c r="A396" s="1">
        <v>1680</v>
      </c>
      <c r="B396" s="3">
        <v>2007</v>
      </c>
      <c r="C396" s="5">
        <v>2010</v>
      </c>
      <c r="D396" s="1">
        <v>2</v>
      </c>
      <c r="E396" s="8" t="s">
        <v>33</v>
      </c>
    </row>
    <row r="397" spans="1:5" x14ac:dyDescent="0.3">
      <c r="A397" s="1">
        <v>1276</v>
      </c>
      <c r="B397" s="3">
        <v>2007</v>
      </c>
      <c r="C397" s="5">
        <v>2016</v>
      </c>
      <c r="D397" s="1">
        <v>9</v>
      </c>
      <c r="E397" s="8" t="s">
        <v>33</v>
      </c>
    </row>
    <row r="398" spans="1:5" x14ac:dyDescent="0.3">
      <c r="A398" s="1">
        <v>1170</v>
      </c>
      <c r="B398" s="3">
        <v>2008</v>
      </c>
      <c r="C398" s="5">
        <v>2008</v>
      </c>
      <c r="D398" s="1">
        <v>1</v>
      </c>
      <c r="E398" s="8" t="s">
        <v>33</v>
      </c>
    </row>
    <row r="399" spans="1:5" x14ac:dyDescent="0.3">
      <c r="A399" s="1">
        <v>1172</v>
      </c>
      <c r="B399" s="3">
        <v>2008</v>
      </c>
      <c r="C399" s="5">
        <v>2008</v>
      </c>
      <c r="D399" s="1">
        <v>1</v>
      </c>
      <c r="E399" s="8" t="s">
        <v>33</v>
      </c>
    </row>
    <row r="400" spans="1:5" x14ac:dyDescent="0.3">
      <c r="A400" s="1">
        <v>1174</v>
      </c>
      <c r="B400" s="3">
        <v>2008</v>
      </c>
      <c r="C400" s="5">
        <v>2008</v>
      </c>
      <c r="D400" s="1">
        <v>1</v>
      </c>
      <c r="E400" s="8" t="s">
        <v>33</v>
      </c>
    </row>
    <row r="401" spans="1:5" x14ac:dyDescent="0.3">
      <c r="A401" s="1">
        <v>1551</v>
      </c>
      <c r="B401" s="3">
        <v>2008</v>
      </c>
      <c r="C401" s="5">
        <v>2009</v>
      </c>
      <c r="D401" s="1">
        <v>2</v>
      </c>
      <c r="E401" s="8" t="s">
        <v>33</v>
      </c>
    </row>
    <row r="402" spans="1:5" x14ac:dyDescent="0.3">
      <c r="A402" s="1">
        <v>1055</v>
      </c>
      <c r="B402" s="3">
        <v>2008</v>
      </c>
      <c r="C402" s="5">
        <v>2017</v>
      </c>
      <c r="D402" s="1">
        <v>20</v>
      </c>
      <c r="E402" s="8" t="s">
        <v>33</v>
      </c>
    </row>
    <row r="403" spans="1:5" x14ac:dyDescent="0.3">
      <c r="A403" s="1">
        <v>1651</v>
      </c>
      <c r="B403" s="3">
        <v>2008</v>
      </c>
      <c r="C403" s="5">
        <v>2017</v>
      </c>
      <c r="D403" s="1">
        <v>2</v>
      </c>
      <c r="E403" s="8" t="s">
        <v>33</v>
      </c>
    </row>
    <row r="404" spans="1:5" x14ac:dyDescent="0.3">
      <c r="A404" s="1">
        <v>1173</v>
      </c>
      <c r="B404" s="3">
        <v>2009</v>
      </c>
      <c r="C404" s="5">
        <v>2009</v>
      </c>
      <c r="D404" s="1">
        <v>1</v>
      </c>
      <c r="E404" s="8" t="s">
        <v>33</v>
      </c>
    </row>
    <row r="405" spans="1:5" x14ac:dyDescent="0.3">
      <c r="A405" s="1">
        <v>1652</v>
      </c>
      <c r="B405" s="3">
        <v>2010</v>
      </c>
      <c r="C405" s="5">
        <v>2012</v>
      </c>
      <c r="D405" s="1">
        <v>2</v>
      </c>
      <c r="E405" s="8" t="s">
        <v>33</v>
      </c>
    </row>
    <row r="406" spans="1:5" x14ac:dyDescent="0.3">
      <c r="A406" s="1">
        <v>1125</v>
      </c>
      <c r="B406" s="3">
        <v>2010</v>
      </c>
      <c r="C406" s="5">
        <v>2016</v>
      </c>
      <c r="D406" s="1">
        <v>9</v>
      </c>
      <c r="E406" s="8" t="s">
        <v>33</v>
      </c>
    </row>
    <row r="407" spans="1:5" x14ac:dyDescent="0.3">
      <c r="A407" s="1">
        <v>1169</v>
      </c>
      <c r="B407" s="3">
        <v>2011</v>
      </c>
      <c r="C407" s="5">
        <v>2011</v>
      </c>
      <c r="D407" s="1">
        <v>1</v>
      </c>
      <c r="E407" s="8" t="s">
        <v>33</v>
      </c>
    </row>
    <row r="408" spans="1:5" x14ac:dyDescent="0.3">
      <c r="A408" s="1">
        <v>1374</v>
      </c>
      <c r="B408" s="3">
        <v>2012</v>
      </c>
      <c r="C408" s="5">
        <v>2013</v>
      </c>
      <c r="D408" s="1">
        <v>2</v>
      </c>
      <c r="E408" s="8" t="s">
        <v>33</v>
      </c>
    </row>
    <row r="409" spans="1:5" x14ac:dyDescent="0.3">
      <c r="A409" s="1">
        <v>1589</v>
      </c>
      <c r="B409" s="3">
        <v>2014</v>
      </c>
      <c r="C409" s="5">
        <v>2016</v>
      </c>
      <c r="D409" s="1">
        <v>2</v>
      </c>
      <c r="E409" s="8" t="s">
        <v>33</v>
      </c>
    </row>
    <row r="410" spans="1:5" x14ac:dyDescent="0.3">
      <c r="A410" s="1">
        <v>1786</v>
      </c>
      <c r="B410" s="3">
        <v>2015</v>
      </c>
      <c r="C410" s="5">
        <v>2015</v>
      </c>
      <c r="D410" s="1">
        <v>2</v>
      </c>
      <c r="E410" s="8" t="s">
        <v>33</v>
      </c>
    </row>
    <row r="411" spans="1:5" x14ac:dyDescent="0.3">
      <c r="A411" s="1">
        <v>2129</v>
      </c>
      <c r="B411" s="3">
        <v>2015</v>
      </c>
      <c r="C411" s="5">
        <v>2015</v>
      </c>
      <c r="D411" s="1">
        <v>1</v>
      </c>
      <c r="E411" s="8" t="s">
        <v>33</v>
      </c>
    </row>
    <row r="412" spans="1:5" x14ac:dyDescent="0.3">
      <c r="A412" s="1">
        <v>1920</v>
      </c>
      <c r="B412" s="3">
        <v>2015</v>
      </c>
      <c r="C412" s="5">
        <v>2017</v>
      </c>
      <c r="D412" s="1">
        <v>2</v>
      </c>
      <c r="E412" s="8" t="s">
        <v>33</v>
      </c>
    </row>
    <row r="413" spans="1:5" x14ac:dyDescent="0.3">
      <c r="A413" s="1">
        <v>2227</v>
      </c>
      <c r="B413" s="3">
        <v>2017</v>
      </c>
      <c r="C413" s="5">
        <v>2017</v>
      </c>
      <c r="D413" s="1">
        <v>1</v>
      </c>
      <c r="E413" s="8" t="s">
        <v>33</v>
      </c>
    </row>
    <row r="414" spans="1:5" x14ac:dyDescent="0.3">
      <c r="A414" s="1">
        <v>2231</v>
      </c>
      <c r="B414" s="3">
        <v>2017</v>
      </c>
      <c r="C414" s="5">
        <v>2017</v>
      </c>
      <c r="D414" s="1">
        <v>1</v>
      </c>
      <c r="E414" s="8" t="s">
        <v>33</v>
      </c>
    </row>
    <row r="415" spans="1:5" x14ac:dyDescent="0.3">
      <c r="A415" s="1">
        <v>1012</v>
      </c>
      <c r="B415" s="3">
        <v>2008</v>
      </c>
      <c r="C415" s="5">
        <v>2014</v>
      </c>
      <c r="D415" s="1">
        <v>6</v>
      </c>
      <c r="E415" s="8" t="s">
        <v>11</v>
      </c>
    </row>
    <row r="416" spans="1:5" x14ac:dyDescent="0.3">
      <c r="A416" s="1">
        <v>1493</v>
      </c>
      <c r="B416" s="3">
        <v>2008</v>
      </c>
      <c r="C416" s="5">
        <v>2017</v>
      </c>
      <c r="D416" s="1">
        <v>6</v>
      </c>
      <c r="E416" s="8" t="s">
        <v>11</v>
      </c>
    </row>
    <row r="417" spans="1:5" x14ac:dyDescent="0.3">
      <c r="A417" s="1">
        <v>1495</v>
      </c>
      <c r="B417" s="3">
        <v>2009</v>
      </c>
      <c r="C417" s="5">
        <v>2009</v>
      </c>
      <c r="D417" s="1">
        <v>1</v>
      </c>
      <c r="E417" s="8" t="s">
        <v>11</v>
      </c>
    </row>
    <row r="418" spans="1:5" x14ac:dyDescent="0.3">
      <c r="A418" s="1">
        <v>1492</v>
      </c>
      <c r="B418" s="3">
        <v>2009</v>
      </c>
      <c r="C418" s="5">
        <v>2010</v>
      </c>
      <c r="D418" s="1">
        <v>3</v>
      </c>
      <c r="E418" s="8" t="s">
        <v>11</v>
      </c>
    </row>
    <row r="419" spans="1:5" x14ac:dyDescent="0.3">
      <c r="A419" s="1">
        <v>1197</v>
      </c>
      <c r="B419" s="3">
        <v>2009</v>
      </c>
      <c r="C419" s="5">
        <v>2017</v>
      </c>
      <c r="D419" s="1">
        <v>6</v>
      </c>
      <c r="E419" s="8" t="s">
        <v>11</v>
      </c>
    </row>
    <row r="420" spans="1:5" x14ac:dyDescent="0.3">
      <c r="A420" s="1">
        <v>1494</v>
      </c>
      <c r="B420" s="3">
        <v>2010</v>
      </c>
      <c r="C420" s="5">
        <v>2013</v>
      </c>
      <c r="D420" s="1">
        <v>2</v>
      </c>
      <c r="E420" s="8" t="s">
        <v>11</v>
      </c>
    </row>
    <row r="421" spans="1:5" x14ac:dyDescent="0.3">
      <c r="A421" s="1">
        <v>1939</v>
      </c>
      <c r="B421" s="3">
        <v>2015</v>
      </c>
      <c r="C421" s="5">
        <v>2015</v>
      </c>
      <c r="D421" s="1">
        <v>1</v>
      </c>
      <c r="E421" s="8" t="s">
        <v>11</v>
      </c>
    </row>
    <row r="422" spans="1:5" x14ac:dyDescent="0.3">
      <c r="A422" s="1">
        <v>2216</v>
      </c>
      <c r="B422" s="3">
        <v>1990</v>
      </c>
      <c r="C422" s="5">
        <v>1996</v>
      </c>
      <c r="D422" s="1">
        <v>6</v>
      </c>
      <c r="E422" s="8" t="s">
        <v>84</v>
      </c>
    </row>
    <row r="423" spans="1:5" x14ac:dyDescent="0.3">
      <c r="A423" s="1">
        <v>2225</v>
      </c>
      <c r="B423" s="3">
        <v>1996</v>
      </c>
      <c r="C423" s="5">
        <v>1999</v>
      </c>
      <c r="D423" s="1">
        <v>3</v>
      </c>
      <c r="E423" s="8" t="s">
        <v>84</v>
      </c>
    </row>
    <row r="424" spans="1:5" x14ac:dyDescent="0.3">
      <c r="A424" s="1">
        <v>1350</v>
      </c>
      <c r="B424" s="3">
        <v>2008</v>
      </c>
      <c r="C424" s="5">
        <v>2014</v>
      </c>
      <c r="D424" s="1">
        <v>4</v>
      </c>
      <c r="E424" s="8" t="s">
        <v>84</v>
      </c>
    </row>
    <row r="425" spans="1:5" x14ac:dyDescent="0.3">
      <c r="A425" s="1">
        <v>1807</v>
      </c>
      <c r="B425" s="3">
        <v>2014</v>
      </c>
      <c r="C425" s="5">
        <v>2014</v>
      </c>
      <c r="D425" s="1">
        <v>1</v>
      </c>
      <c r="E425" s="8" t="s">
        <v>113</v>
      </c>
    </row>
    <row r="426" spans="1:5" x14ac:dyDescent="0.3">
      <c r="A426" s="1">
        <v>2135</v>
      </c>
      <c r="B426" s="3">
        <v>1990</v>
      </c>
      <c r="C426" s="5">
        <v>2007</v>
      </c>
      <c r="D426" s="1">
        <v>8</v>
      </c>
      <c r="E426" s="8" t="s">
        <v>41</v>
      </c>
    </row>
    <row r="427" spans="1:5" x14ac:dyDescent="0.3">
      <c r="A427" s="1">
        <v>1445</v>
      </c>
      <c r="B427" s="3">
        <v>1990</v>
      </c>
      <c r="C427" s="5">
        <v>2011</v>
      </c>
      <c r="D427" s="1">
        <v>6</v>
      </c>
      <c r="E427" s="8" t="s">
        <v>41</v>
      </c>
    </row>
    <row r="428" spans="1:5" x14ac:dyDescent="0.3">
      <c r="A428" s="1">
        <v>1552</v>
      </c>
      <c r="B428" s="3">
        <v>1991</v>
      </c>
      <c r="C428" s="5">
        <v>2010</v>
      </c>
      <c r="D428" s="1">
        <v>11</v>
      </c>
      <c r="E428" s="8" t="s">
        <v>41</v>
      </c>
    </row>
    <row r="429" spans="1:5" x14ac:dyDescent="0.3">
      <c r="A429" s="1">
        <v>1633</v>
      </c>
      <c r="B429" s="3">
        <v>1991</v>
      </c>
      <c r="C429" s="5">
        <v>2010</v>
      </c>
      <c r="D429" s="1">
        <v>12</v>
      </c>
      <c r="E429" s="8" t="s">
        <v>41</v>
      </c>
    </row>
    <row r="430" spans="1:5" x14ac:dyDescent="0.3">
      <c r="A430" s="1">
        <v>1087</v>
      </c>
      <c r="B430" s="3">
        <v>1991</v>
      </c>
      <c r="C430" s="5">
        <v>2016</v>
      </c>
      <c r="D430" s="1">
        <v>23</v>
      </c>
      <c r="E430" s="8" t="s">
        <v>41</v>
      </c>
    </row>
    <row r="431" spans="1:5" x14ac:dyDescent="0.3">
      <c r="A431" s="1">
        <v>1284</v>
      </c>
      <c r="B431" s="3">
        <v>1991</v>
      </c>
      <c r="C431" s="5">
        <v>2016</v>
      </c>
      <c r="D431" s="1">
        <v>17</v>
      </c>
      <c r="E431" s="8" t="s">
        <v>41</v>
      </c>
    </row>
    <row r="432" spans="1:5" x14ac:dyDescent="0.3">
      <c r="A432" s="1">
        <v>1314</v>
      </c>
      <c r="B432" s="3">
        <v>1992</v>
      </c>
      <c r="C432" s="5">
        <v>2010</v>
      </c>
      <c r="D432" s="1">
        <v>11</v>
      </c>
      <c r="E432" s="8" t="s">
        <v>41</v>
      </c>
    </row>
    <row r="433" spans="1:5" x14ac:dyDescent="0.3">
      <c r="A433" s="1">
        <v>1148</v>
      </c>
      <c r="B433" s="3">
        <v>1993</v>
      </c>
      <c r="C433" s="5">
        <v>2010</v>
      </c>
      <c r="D433" s="1">
        <v>9</v>
      </c>
      <c r="E433" s="8" t="s">
        <v>41</v>
      </c>
    </row>
    <row r="434" spans="1:5" x14ac:dyDescent="0.3">
      <c r="A434" s="1">
        <v>1251</v>
      </c>
      <c r="B434" s="3">
        <v>1993</v>
      </c>
      <c r="C434" s="5">
        <v>2017</v>
      </c>
      <c r="D434" s="1">
        <v>16</v>
      </c>
      <c r="E434" s="8" t="s">
        <v>41</v>
      </c>
    </row>
    <row r="435" spans="1:5" x14ac:dyDescent="0.3">
      <c r="A435" s="1">
        <v>1629</v>
      </c>
      <c r="B435" s="3">
        <v>1995</v>
      </c>
      <c r="C435" s="5">
        <v>2009</v>
      </c>
      <c r="D435" s="1">
        <v>5</v>
      </c>
      <c r="E435" s="8" t="s">
        <v>41</v>
      </c>
    </row>
    <row r="436" spans="1:5" x14ac:dyDescent="0.3">
      <c r="A436" s="1">
        <v>1884</v>
      </c>
      <c r="B436" s="3">
        <v>2007</v>
      </c>
      <c r="C436" s="5">
        <v>2007</v>
      </c>
      <c r="D436" s="1">
        <v>1</v>
      </c>
      <c r="E436" s="8" t="s">
        <v>41</v>
      </c>
    </row>
    <row r="437" spans="1:5" x14ac:dyDescent="0.3">
      <c r="A437" s="1">
        <v>1150</v>
      </c>
      <c r="B437" s="3">
        <v>2007</v>
      </c>
      <c r="C437" s="5">
        <v>2009</v>
      </c>
      <c r="D437" s="1">
        <v>3</v>
      </c>
      <c r="E437" s="8" t="s">
        <v>41</v>
      </c>
    </row>
    <row r="438" spans="1:5" x14ac:dyDescent="0.3">
      <c r="A438" s="1">
        <v>1282</v>
      </c>
      <c r="B438" s="3">
        <v>2008</v>
      </c>
      <c r="C438" s="5">
        <v>2011</v>
      </c>
      <c r="D438" s="1">
        <v>4</v>
      </c>
      <c r="E438" s="8" t="s">
        <v>41</v>
      </c>
    </row>
    <row r="439" spans="1:5" x14ac:dyDescent="0.3">
      <c r="A439" s="1">
        <v>1313</v>
      </c>
      <c r="B439" s="3">
        <v>2008</v>
      </c>
      <c r="C439" s="5">
        <v>2017</v>
      </c>
      <c r="D439" s="1">
        <v>2</v>
      </c>
      <c r="E439" s="8" t="s">
        <v>41</v>
      </c>
    </row>
    <row r="440" spans="1:5" x14ac:dyDescent="0.3">
      <c r="A440" s="1">
        <v>1312</v>
      </c>
      <c r="B440" s="3">
        <v>2010</v>
      </c>
      <c r="C440" s="5">
        <v>2010</v>
      </c>
      <c r="D440" s="1">
        <v>1</v>
      </c>
      <c r="E440" s="8" t="s">
        <v>41</v>
      </c>
    </row>
    <row r="441" spans="1:5" x14ac:dyDescent="0.3">
      <c r="A441" s="1">
        <v>1280</v>
      </c>
      <c r="B441" s="3">
        <v>2011</v>
      </c>
      <c r="C441" s="5">
        <v>2011</v>
      </c>
      <c r="D441" s="1">
        <v>1</v>
      </c>
      <c r="E441" s="8" t="s">
        <v>41</v>
      </c>
    </row>
    <row r="442" spans="1:5" x14ac:dyDescent="0.3">
      <c r="A442" s="1">
        <v>1914</v>
      </c>
      <c r="B442" s="3">
        <v>2015</v>
      </c>
      <c r="C442" s="5">
        <v>2016</v>
      </c>
      <c r="D442" s="1">
        <v>2</v>
      </c>
      <c r="E442" s="8" t="s">
        <v>41</v>
      </c>
    </row>
    <row r="443" spans="1:5" x14ac:dyDescent="0.3">
      <c r="A443" s="1">
        <v>1911</v>
      </c>
      <c r="B443" s="3">
        <v>2015</v>
      </c>
      <c r="C443" s="5">
        <v>2017</v>
      </c>
      <c r="D443" s="1">
        <v>4</v>
      </c>
      <c r="E443" s="8" t="s">
        <v>41</v>
      </c>
    </row>
    <row r="444" spans="1:5" x14ac:dyDescent="0.3">
      <c r="A444" s="1">
        <v>2007</v>
      </c>
      <c r="B444" s="3">
        <v>2016</v>
      </c>
      <c r="C444" s="5">
        <v>2016</v>
      </c>
      <c r="D444" s="1">
        <v>1</v>
      </c>
      <c r="E444" s="8" t="s">
        <v>41</v>
      </c>
    </row>
    <row r="445" spans="1:5" x14ac:dyDescent="0.3">
      <c r="A445" s="1">
        <v>2008</v>
      </c>
      <c r="B445" s="3">
        <v>2016</v>
      </c>
      <c r="C445" s="5">
        <v>2016</v>
      </c>
      <c r="D445" s="1">
        <v>1</v>
      </c>
      <c r="E445" s="8" t="s">
        <v>41</v>
      </c>
    </row>
    <row r="446" spans="1:5" x14ac:dyDescent="0.3">
      <c r="A446" s="1">
        <v>2023</v>
      </c>
      <c r="B446" s="3">
        <v>2016</v>
      </c>
      <c r="C446" s="5">
        <v>2016</v>
      </c>
      <c r="D446" s="1">
        <v>1</v>
      </c>
      <c r="E446" s="8" t="s">
        <v>41</v>
      </c>
    </row>
    <row r="447" spans="1:5" x14ac:dyDescent="0.3">
      <c r="A447" s="1">
        <v>2009</v>
      </c>
      <c r="B447" s="3">
        <v>2016</v>
      </c>
      <c r="C447" s="5">
        <v>2017</v>
      </c>
      <c r="D447" s="1">
        <v>2</v>
      </c>
      <c r="E447" s="8" t="s">
        <v>41</v>
      </c>
    </row>
    <row r="448" spans="1:5" x14ac:dyDescent="0.3">
      <c r="A448" s="1">
        <v>1851</v>
      </c>
      <c r="B448" s="3">
        <v>2015</v>
      </c>
      <c r="C448" s="5">
        <v>2015</v>
      </c>
      <c r="D448" s="1">
        <v>1</v>
      </c>
      <c r="E448" s="8" t="s">
        <v>119</v>
      </c>
    </row>
    <row r="449" spans="1:5" x14ac:dyDescent="0.3">
      <c r="A449" s="1">
        <v>1907</v>
      </c>
      <c r="B449" s="3">
        <v>2015</v>
      </c>
      <c r="C449" s="5">
        <v>2015</v>
      </c>
      <c r="D449" s="1">
        <v>1</v>
      </c>
      <c r="E449" s="8" t="s">
        <v>119</v>
      </c>
    </row>
    <row r="450" spans="1:5" x14ac:dyDescent="0.3">
      <c r="A450" s="1">
        <v>1163</v>
      </c>
      <c r="B450" s="3">
        <v>2007</v>
      </c>
      <c r="C450" s="5">
        <v>2008</v>
      </c>
      <c r="D450" s="1">
        <v>2</v>
      </c>
      <c r="E450" s="8" t="s">
        <v>35</v>
      </c>
    </row>
    <row r="451" spans="1:5" x14ac:dyDescent="0.3">
      <c r="A451" s="1">
        <v>1141</v>
      </c>
      <c r="B451" s="3">
        <v>2007</v>
      </c>
      <c r="C451" s="5">
        <v>2009</v>
      </c>
      <c r="D451" s="1">
        <v>3</v>
      </c>
      <c r="E451" s="8" t="s">
        <v>35</v>
      </c>
    </row>
    <row r="452" spans="1:5" x14ac:dyDescent="0.3">
      <c r="A452" s="1">
        <v>1059</v>
      </c>
      <c r="B452" s="3">
        <v>2007</v>
      </c>
      <c r="C452" s="5">
        <v>2011</v>
      </c>
      <c r="D452" s="1">
        <v>5</v>
      </c>
      <c r="E452" s="8" t="s">
        <v>35</v>
      </c>
    </row>
    <row r="453" spans="1:5" x14ac:dyDescent="0.3">
      <c r="A453" s="1">
        <v>1216</v>
      </c>
      <c r="B453" s="3">
        <v>2008</v>
      </c>
      <c r="C453" s="5">
        <v>2008</v>
      </c>
      <c r="D453" s="1">
        <v>1</v>
      </c>
      <c r="E453" s="8" t="s">
        <v>35</v>
      </c>
    </row>
    <row r="454" spans="1:5" x14ac:dyDescent="0.3">
      <c r="A454" s="1">
        <v>1297</v>
      </c>
      <c r="B454" s="3">
        <v>2008</v>
      </c>
      <c r="C454" s="5">
        <v>2008</v>
      </c>
      <c r="D454" s="1">
        <v>1</v>
      </c>
      <c r="E454" s="8" t="s">
        <v>35</v>
      </c>
    </row>
    <row r="455" spans="1:5" x14ac:dyDescent="0.3">
      <c r="A455" s="1">
        <v>1331</v>
      </c>
      <c r="B455" s="3">
        <v>2008</v>
      </c>
      <c r="C455" s="5">
        <v>2008</v>
      </c>
      <c r="D455" s="1">
        <v>1</v>
      </c>
      <c r="E455" s="8" t="s">
        <v>35</v>
      </c>
    </row>
    <row r="456" spans="1:5" x14ac:dyDescent="0.3">
      <c r="A456" s="1">
        <v>1147</v>
      </c>
      <c r="B456" s="3">
        <v>2008</v>
      </c>
      <c r="C456" s="5">
        <v>2010</v>
      </c>
      <c r="D456" s="1">
        <v>2</v>
      </c>
      <c r="E456" s="8" t="s">
        <v>35</v>
      </c>
    </row>
    <row r="457" spans="1:5" x14ac:dyDescent="0.3">
      <c r="A457" s="1">
        <v>1295</v>
      </c>
      <c r="B457" s="3">
        <v>2009</v>
      </c>
      <c r="C457" s="5">
        <v>2011</v>
      </c>
      <c r="D457" s="1">
        <v>3</v>
      </c>
      <c r="E457" s="8" t="s">
        <v>35</v>
      </c>
    </row>
    <row r="458" spans="1:5" x14ac:dyDescent="0.3">
      <c r="A458" s="1">
        <v>1296</v>
      </c>
      <c r="B458" s="3">
        <v>2011</v>
      </c>
      <c r="C458" s="5">
        <v>2011</v>
      </c>
      <c r="D458" s="1">
        <v>3</v>
      </c>
      <c r="E458" s="8" t="s">
        <v>35</v>
      </c>
    </row>
    <row r="459" spans="1:5" x14ac:dyDescent="0.3">
      <c r="A459" s="1">
        <v>2101</v>
      </c>
      <c r="B459" s="3">
        <v>1980</v>
      </c>
      <c r="C459" s="5">
        <v>1996</v>
      </c>
      <c r="D459" s="1">
        <v>3</v>
      </c>
      <c r="E459" s="8" t="s">
        <v>39</v>
      </c>
    </row>
    <row r="460" spans="1:5" x14ac:dyDescent="0.3">
      <c r="A460" s="1">
        <v>1448</v>
      </c>
      <c r="B460" s="3">
        <v>1990</v>
      </c>
      <c r="C460" s="5">
        <v>2014</v>
      </c>
      <c r="D460" s="1">
        <v>9</v>
      </c>
      <c r="E460" s="8" t="s">
        <v>39</v>
      </c>
    </row>
    <row r="461" spans="1:5" x14ac:dyDescent="0.3">
      <c r="A461" s="1">
        <v>1080</v>
      </c>
      <c r="B461" s="3">
        <v>1990</v>
      </c>
      <c r="C461" s="5">
        <v>2017</v>
      </c>
      <c r="D461" s="1">
        <v>18</v>
      </c>
      <c r="E461" s="8" t="s">
        <v>39</v>
      </c>
    </row>
    <row r="462" spans="1:5" x14ac:dyDescent="0.3">
      <c r="A462" s="1">
        <v>1574</v>
      </c>
      <c r="B462" s="3">
        <v>1995</v>
      </c>
      <c r="C462" s="5">
        <v>2017</v>
      </c>
      <c r="D462" s="1">
        <v>12</v>
      </c>
      <c r="E462" s="8" t="s">
        <v>39</v>
      </c>
    </row>
    <row r="463" spans="1:5" x14ac:dyDescent="0.3">
      <c r="A463" s="1">
        <v>1910</v>
      </c>
      <c r="B463" s="3">
        <v>2007</v>
      </c>
      <c r="C463" s="5">
        <v>2007</v>
      </c>
      <c r="D463" s="1">
        <v>1</v>
      </c>
      <c r="E463" s="8" t="s">
        <v>39</v>
      </c>
    </row>
    <row r="464" spans="1:5" x14ac:dyDescent="0.3">
      <c r="A464" s="1">
        <v>1919</v>
      </c>
      <c r="B464" s="3">
        <v>2007</v>
      </c>
      <c r="C464" s="5">
        <v>2007</v>
      </c>
      <c r="D464" s="1">
        <v>1</v>
      </c>
      <c r="E464" s="8" t="s">
        <v>39</v>
      </c>
    </row>
    <row r="465" spans="1:5" x14ac:dyDescent="0.3">
      <c r="A465" s="1">
        <v>1193</v>
      </c>
      <c r="B465" s="3">
        <v>2007</v>
      </c>
      <c r="C465" s="5">
        <v>2015</v>
      </c>
      <c r="D465" s="1">
        <v>7</v>
      </c>
      <c r="E465" s="8" t="s">
        <v>39</v>
      </c>
    </row>
    <row r="466" spans="1:5" x14ac:dyDescent="0.3">
      <c r="A466" s="1">
        <v>1573</v>
      </c>
      <c r="B466" s="3">
        <v>2007</v>
      </c>
      <c r="C466" s="5">
        <v>2016</v>
      </c>
      <c r="D466" s="1">
        <v>4</v>
      </c>
      <c r="E466" s="8" t="s">
        <v>39</v>
      </c>
    </row>
    <row r="467" spans="1:5" x14ac:dyDescent="0.3">
      <c r="A467" s="1">
        <v>1396</v>
      </c>
      <c r="B467" s="3">
        <v>2007</v>
      </c>
      <c r="C467" s="5">
        <v>2017</v>
      </c>
      <c r="D467" s="1">
        <v>7</v>
      </c>
      <c r="E467" s="8" t="s">
        <v>39</v>
      </c>
    </row>
    <row r="468" spans="1:5" x14ac:dyDescent="0.3">
      <c r="A468" s="1">
        <v>1570</v>
      </c>
      <c r="B468" s="3">
        <v>2007</v>
      </c>
      <c r="C468" s="5">
        <v>2017</v>
      </c>
      <c r="D468" s="1">
        <v>10</v>
      </c>
      <c r="E468" s="8" t="s">
        <v>39</v>
      </c>
    </row>
    <row r="469" spans="1:5" x14ac:dyDescent="0.3">
      <c r="A469" s="1">
        <v>1565</v>
      </c>
      <c r="B469" s="3">
        <v>2008</v>
      </c>
      <c r="C469" s="5">
        <v>2008</v>
      </c>
      <c r="D469" s="1">
        <v>1</v>
      </c>
      <c r="E469" s="8" t="s">
        <v>39</v>
      </c>
    </row>
    <row r="470" spans="1:5" x14ac:dyDescent="0.3">
      <c r="A470" s="1">
        <v>1750</v>
      </c>
      <c r="B470" s="3">
        <v>2008</v>
      </c>
      <c r="C470" s="5">
        <v>2017</v>
      </c>
      <c r="D470" s="1">
        <v>20</v>
      </c>
      <c r="E470" s="8" t="s">
        <v>39</v>
      </c>
    </row>
    <row r="471" spans="1:5" x14ac:dyDescent="0.3">
      <c r="A471" s="1">
        <v>1564</v>
      </c>
      <c r="B471" s="3">
        <v>2009</v>
      </c>
      <c r="C471" s="5">
        <v>2017</v>
      </c>
      <c r="D471" s="1">
        <v>6</v>
      </c>
      <c r="E471" s="8" t="s">
        <v>39</v>
      </c>
    </row>
    <row r="472" spans="1:5" x14ac:dyDescent="0.3">
      <c r="A472" s="1">
        <v>1311</v>
      </c>
      <c r="B472" s="3">
        <v>2011</v>
      </c>
      <c r="C472" s="5">
        <v>2015</v>
      </c>
      <c r="D472" s="1">
        <v>3</v>
      </c>
      <c r="E472" s="8" t="s">
        <v>39</v>
      </c>
    </row>
    <row r="473" spans="1:5" x14ac:dyDescent="0.3">
      <c r="A473" s="1">
        <v>1244</v>
      </c>
      <c r="B473" s="3">
        <v>2011</v>
      </c>
      <c r="C473" s="5">
        <v>2017</v>
      </c>
      <c r="D473" s="1">
        <v>3</v>
      </c>
      <c r="E473" s="8" t="s">
        <v>39</v>
      </c>
    </row>
    <row r="474" spans="1:5" x14ac:dyDescent="0.3">
      <c r="A474" s="1">
        <v>1577</v>
      </c>
      <c r="B474" s="3">
        <v>2011</v>
      </c>
      <c r="C474" s="5">
        <v>2017</v>
      </c>
      <c r="D474" s="1">
        <v>9</v>
      </c>
      <c r="E474" s="8" t="s">
        <v>39</v>
      </c>
    </row>
    <row r="475" spans="1:5" x14ac:dyDescent="0.3">
      <c r="A475" s="1">
        <v>1439</v>
      </c>
      <c r="B475" s="3">
        <v>2012</v>
      </c>
      <c r="C475" s="5">
        <v>2013</v>
      </c>
      <c r="D475" s="1">
        <v>3</v>
      </c>
      <c r="E475" s="8" t="s">
        <v>39</v>
      </c>
    </row>
    <row r="476" spans="1:5" x14ac:dyDescent="0.3">
      <c r="A476" s="1">
        <v>1734</v>
      </c>
      <c r="B476" s="3">
        <v>2012</v>
      </c>
      <c r="C476" s="5">
        <v>2016</v>
      </c>
      <c r="D476" s="1">
        <v>3</v>
      </c>
      <c r="E476" s="8" t="s">
        <v>39</v>
      </c>
    </row>
    <row r="477" spans="1:5" x14ac:dyDescent="0.3">
      <c r="A477" s="1">
        <v>1795</v>
      </c>
      <c r="B477" s="3">
        <v>2015</v>
      </c>
      <c r="C477" s="5">
        <v>2017</v>
      </c>
      <c r="D477" s="1">
        <v>3</v>
      </c>
      <c r="E477" s="8" t="s">
        <v>39</v>
      </c>
    </row>
    <row r="478" spans="1:5" x14ac:dyDescent="0.3">
      <c r="A478" s="1">
        <v>1832</v>
      </c>
      <c r="B478" s="3">
        <v>2015</v>
      </c>
      <c r="C478" s="5">
        <v>2017</v>
      </c>
      <c r="D478" s="1">
        <v>3</v>
      </c>
      <c r="E478" s="8" t="s">
        <v>39</v>
      </c>
    </row>
    <row r="479" spans="1:5" x14ac:dyDescent="0.3">
      <c r="A479" s="1">
        <v>1950</v>
      </c>
      <c r="B479" s="3">
        <v>2015</v>
      </c>
      <c r="C479" s="5">
        <v>2017</v>
      </c>
      <c r="D479" s="1">
        <v>2</v>
      </c>
      <c r="E479" s="8" t="s">
        <v>39</v>
      </c>
    </row>
    <row r="480" spans="1:5" x14ac:dyDescent="0.3">
      <c r="A480" s="1">
        <v>2016</v>
      </c>
      <c r="B480" s="3">
        <v>2016</v>
      </c>
      <c r="C480" s="5">
        <v>2017</v>
      </c>
      <c r="D480" s="1">
        <v>2</v>
      </c>
      <c r="E480" s="8" t="s">
        <v>39</v>
      </c>
    </row>
    <row r="481" spans="1:5" x14ac:dyDescent="0.3">
      <c r="A481" s="1">
        <v>2040</v>
      </c>
      <c r="B481" s="3">
        <v>2016</v>
      </c>
      <c r="C481" s="5">
        <v>2017</v>
      </c>
      <c r="D481" s="1">
        <v>2</v>
      </c>
      <c r="E481" s="8" t="s">
        <v>39</v>
      </c>
    </row>
    <row r="482" spans="1:5" x14ac:dyDescent="0.3">
      <c r="A482" s="1">
        <v>2187</v>
      </c>
      <c r="B482" s="3">
        <v>2017</v>
      </c>
      <c r="C482" s="5">
        <v>2017</v>
      </c>
      <c r="D482" s="1">
        <v>1</v>
      </c>
      <c r="E482" s="8" t="s">
        <v>39</v>
      </c>
    </row>
    <row r="483" spans="1:5" x14ac:dyDescent="0.3">
      <c r="A483" s="1">
        <v>2190</v>
      </c>
      <c r="B483" s="3">
        <v>2017</v>
      </c>
      <c r="C483" s="5">
        <v>2017</v>
      </c>
      <c r="D483" s="1">
        <v>1</v>
      </c>
      <c r="E483" s="8" t="s">
        <v>39</v>
      </c>
    </row>
    <row r="484" spans="1:5" x14ac:dyDescent="0.3">
      <c r="A484" s="1">
        <v>2239</v>
      </c>
      <c r="B484" s="3">
        <v>2017</v>
      </c>
      <c r="C484" s="5">
        <v>2017</v>
      </c>
      <c r="D484" s="1">
        <v>1</v>
      </c>
      <c r="E484" s="8" t="s">
        <v>39</v>
      </c>
    </row>
    <row r="485" spans="1:5" x14ac:dyDescent="0.3">
      <c r="A485" s="1">
        <v>2245</v>
      </c>
      <c r="B485" s="3">
        <v>2017</v>
      </c>
      <c r="C485" s="5">
        <v>2017</v>
      </c>
      <c r="D485" s="1">
        <v>1</v>
      </c>
      <c r="E485" s="8" t="s">
        <v>39</v>
      </c>
    </row>
    <row r="486" spans="1:5" x14ac:dyDescent="0.3">
      <c r="A486" s="1">
        <v>2253</v>
      </c>
      <c r="B486" s="3">
        <v>2017</v>
      </c>
      <c r="C486" s="5">
        <v>2017</v>
      </c>
      <c r="D486" s="1">
        <v>1</v>
      </c>
      <c r="E486" s="8" t="s">
        <v>39</v>
      </c>
    </row>
    <row r="487" spans="1:5" x14ac:dyDescent="0.3">
      <c r="A487" s="1">
        <v>1321</v>
      </c>
      <c r="B487" s="3">
        <v>2007</v>
      </c>
      <c r="C487" s="5">
        <v>2009</v>
      </c>
      <c r="D487" s="1">
        <v>2</v>
      </c>
      <c r="E487" s="8" t="s">
        <v>79</v>
      </c>
    </row>
    <row r="488" spans="1:5" x14ac:dyDescent="0.3">
      <c r="A488" s="1">
        <v>2088</v>
      </c>
      <c r="B488" s="3">
        <v>2017</v>
      </c>
      <c r="C488" s="5">
        <v>2017</v>
      </c>
      <c r="D488" s="1">
        <v>1</v>
      </c>
      <c r="E488" s="8" t="s">
        <v>79</v>
      </c>
    </row>
    <row r="489" spans="1:5" x14ac:dyDescent="0.3">
      <c r="A489" s="1">
        <v>2141</v>
      </c>
      <c r="B489" s="3">
        <v>2017</v>
      </c>
      <c r="C489" s="5">
        <v>2017</v>
      </c>
      <c r="D489" s="1">
        <v>1</v>
      </c>
      <c r="E489" s="8" t="s">
        <v>79</v>
      </c>
    </row>
    <row r="490" spans="1:5" x14ac:dyDescent="0.3">
      <c r="A490" s="1">
        <v>1160</v>
      </c>
      <c r="B490" s="3">
        <v>2008</v>
      </c>
      <c r="C490" s="5">
        <v>2017</v>
      </c>
      <c r="D490" s="1">
        <v>8</v>
      </c>
      <c r="E490" s="8" t="s">
        <v>58</v>
      </c>
    </row>
    <row r="491" spans="1:5" x14ac:dyDescent="0.3">
      <c r="A491" s="1">
        <v>1636</v>
      </c>
      <c r="B491" s="3">
        <v>2010</v>
      </c>
      <c r="C491" s="5">
        <v>2017</v>
      </c>
      <c r="D491" s="1">
        <v>7</v>
      </c>
      <c r="E491" s="8" t="s">
        <v>58</v>
      </c>
    </row>
    <row r="492" spans="1:5" x14ac:dyDescent="0.3">
      <c r="A492" s="1">
        <v>1796</v>
      </c>
      <c r="B492" s="3">
        <v>2015</v>
      </c>
      <c r="C492" s="5">
        <v>2015</v>
      </c>
      <c r="D492" s="1">
        <v>1</v>
      </c>
      <c r="E492" s="8" t="s">
        <v>58</v>
      </c>
    </row>
    <row r="493" spans="1:5" x14ac:dyDescent="0.3">
      <c r="A493" s="1">
        <v>1967</v>
      </c>
      <c r="B493" s="3">
        <v>2016</v>
      </c>
      <c r="C493" s="5">
        <v>2016</v>
      </c>
      <c r="D493" s="1">
        <v>1</v>
      </c>
      <c r="E493" s="8" t="s">
        <v>58</v>
      </c>
    </row>
    <row r="494" spans="1:5" x14ac:dyDescent="0.3">
      <c r="A494" s="1">
        <v>1984</v>
      </c>
      <c r="B494" s="3">
        <v>2016</v>
      </c>
      <c r="C494" s="5">
        <v>2016</v>
      </c>
      <c r="D494" s="1">
        <v>1</v>
      </c>
      <c r="E494" s="8" t="s">
        <v>58</v>
      </c>
    </row>
    <row r="495" spans="1:5" x14ac:dyDescent="0.3">
      <c r="A495" s="1">
        <v>2013</v>
      </c>
      <c r="B495" s="3">
        <v>2016</v>
      </c>
      <c r="C495" s="5">
        <v>2016</v>
      </c>
      <c r="D495" s="1">
        <v>1</v>
      </c>
      <c r="E495" s="8" t="s">
        <v>58</v>
      </c>
    </row>
    <row r="496" spans="1:5" x14ac:dyDescent="0.3">
      <c r="A496" s="1">
        <v>2038</v>
      </c>
      <c r="B496" s="3">
        <v>2016</v>
      </c>
      <c r="C496" s="5">
        <v>2017</v>
      </c>
      <c r="D496" s="1">
        <v>2</v>
      </c>
      <c r="E496" s="8" t="s">
        <v>58</v>
      </c>
    </row>
    <row r="497" spans="1:5" x14ac:dyDescent="0.3">
      <c r="A497" s="1">
        <v>2109</v>
      </c>
      <c r="B497" s="3">
        <v>2017</v>
      </c>
      <c r="C497" s="5">
        <v>2017</v>
      </c>
      <c r="D497" s="1">
        <v>1</v>
      </c>
      <c r="E497" s="8" t="s">
        <v>58</v>
      </c>
    </row>
    <row r="498" spans="1:5" x14ac:dyDescent="0.3">
      <c r="A498" s="1">
        <v>2168</v>
      </c>
      <c r="B498" s="3">
        <v>2017</v>
      </c>
      <c r="C498" s="5">
        <v>2017</v>
      </c>
      <c r="D498" s="1">
        <v>1</v>
      </c>
      <c r="E498" s="8" t="s">
        <v>58</v>
      </c>
    </row>
    <row r="499" spans="1:5" x14ac:dyDescent="0.3">
      <c r="A499" s="1">
        <v>2170</v>
      </c>
      <c r="B499" s="3">
        <v>2017</v>
      </c>
      <c r="C499" s="5">
        <v>2017</v>
      </c>
      <c r="D499" s="1">
        <v>1</v>
      </c>
      <c r="E499" s="8" t="s">
        <v>58</v>
      </c>
    </row>
    <row r="500" spans="1:5" x14ac:dyDescent="0.3">
      <c r="A500" s="1">
        <v>1815</v>
      </c>
      <c r="B500" s="3">
        <v>1990</v>
      </c>
      <c r="C500" s="5">
        <v>2007</v>
      </c>
      <c r="D500" s="1">
        <v>9</v>
      </c>
      <c r="E500" s="8" t="s">
        <v>40</v>
      </c>
    </row>
    <row r="501" spans="1:5" x14ac:dyDescent="0.3">
      <c r="A501" s="1">
        <v>1081</v>
      </c>
      <c r="B501" s="3">
        <v>1992</v>
      </c>
      <c r="C501" s="5">
        <v>2013</v>
      </c>
      <c r="D501" s="1">
        <v>13</v>
      </c>
      <c r="E501" s="8" t="s">
        <v>40</v>
      </c>
    </row>
    <row r="502" spans="1:5" x14ac:dyDescent="0.3">
      <c r="A502" s="1">
        <v>1632</v>
      </c>
      <c r="B502" s="3">
        <v>1995</v>
      </c>
      <c r="C502" s="5">
        <v>2012</v>
      </c>
      <c r="D502" s="1">
        <v>9</v>
      </c>
      <c r="E502" s="8" t="s">
        <v>40</v>
      </c>
    </row>
    <row r="503" spans="1:5" x14ac:dyDescent="0.3">
      <c r="A503" s="1">
        <v>1666</v>
      </c>
      <c r="B503" s="3">
        <v>2007</v>
      </c>
      <c r="C503" s="5">
        <v>2016</v>
      </c>
      <c r="D503" s="1">
        <v>14</v>
      </c>
      <c r="E503" s="11" t="s">
        <v>40</v>
      </c>
    </row>
    <row r="504" spans="1:5" x14ac:dyDescent="0.3">
      <c r="A504" s="1">
        <v>1921</v>
      </c>
      <c r="B504" s="3">
        <v>2015</v>
      </c>
      <c r="C504" s="5">
        <v>2015</v>
      </c>
      <c r="D504" s="1">
        <v>1</v>
      </c>
      <c r="E504" s="8" t="s">
        <v>40</v>
      </c>
    </row>
    <row r="505" spans="1:5" x14ac:dyDescent="0.3">
      <c r="A505" s="1">
        <v>1999</v>
      </c>
      <c r="B505" s="3">
        <v>2016</v>
      </c>
      <c r="C505" s="5">
        <v>2016</v>
      </c>
      <c r="D505" s="1">
        <v>1</v>
      </c>
      <c r="E505" s="8" t="s">
        <v>40</v>
      </c>
    </row>
    <row r="506" spans="1:5" x14ac:dyDescent="0.3">
      <c r="A506" s="1">
        <v>2234</v>
      </c>
      <c r="B506" s="3">
        <v>2017</v>
      </c>
      <c r="C506" s="5">
        <v>2017</v>
      </c>
      <c r="D506" s="1">
        <v>1</v>
      </c>
      <c r="E506" s="8" t="s">
        <v>40</v>
      </c>
    </row>
    <row r="507" spans="1:5" x14ac:dyDescent="0.3">
      <c r="A507" s="1">
        <v>1456</v>
      </c>
      <c r="B507" s="3">
        <v>1990</v>
      </c>
      <c r="C507" s="5">
        <v>2017</v>
      </c>
      <c r="D507" s="1">
        <v>18</v>
      </c>
      <c r="E507" s="8" t="s">
        <v>8</v>
      </c>
    </row>
    <row r="508" spans="1:5" x14ac:dyDescent="0.3">
      <c r="A508" s="1">
        <v>1009</v>
      </c>
      <c r="B508" s="3">
        <v>1991</v>
      </c>
      <c r="C508" s="5">
        <v>2009</v>
      </c>
      <c r="D508" s="1">
        <v>3</v>
      </c>
      <c r="E508" s="8" t="s">
        <v>8</v>
      </c>
    </row>
    <row r="509" spans="1:5" x14ac:dyDescent="0.3">
      <c r="A509" s="1">
        <v>1459</v>
      </c>
      <c r="B509" s="3">
        <v>1995</v>
      </c>
      <c r="C509" s="5">
        <v>2009</v>
      </c>
      <c r="D509" s="1">
        <v>6</v>
      </c>
      <c r="E509" s="8" t="s">
        <v>8</v>
      </c>
    </row>
    <row r="510" spans="1:5" x14ac:dyDescent="0.3">
      <c r="A510" s="1">
        <v>1614</v>
      </c>
      <c r="B510" s="3">
        <v>1995</v>
      </c>
      <c r="C510" s="5">
        <v>2017</v>
      </c>
      <c r="D510" s="1">
        <v>15</v>
      </c>
      <c r="E510" s="8" t="s">
        <v>8</v>
      </c>
    </row>
    <row r="511" spans="1:5" x14ac:dyDescent="0.3">
      <c r="A511" s="1">
        <v>1460</v>
      </c>
      <c r="B511" s="3">
        <v>2007</v>
      </c>
      <c r="C511" s="5">
        <v>2009</v>
      </c>
      <c r="D511" s="1">
        <v>3</v>
      </c>
      <c r="E511" s="8" t="s">
        <v>8</v>
      </c>
    </row>
    <row r="512" spans="1:5" x14ac:dyDescent="0.3">
      <c r="A512" s="1">
        <v>1628</v>
      </c>
      <c r="B512" s="3">
        <v>2007</v>
      </c>
      <c r="C512" s="5">
        <v>2014</v>
      </c>
      <c r="D512" s="1">
        <v>5</v>
      </c>
      <c r="E512" s="8" t="s">
        <v>8</v>
      </c>
    </row>
    <row r="513" spans="1:5" x14ac:dyDescent="0.3">
      <c r="A513" s="1">
        <v>1576</v>
      </c>
      <c r="B513" s="3">
        <v>2007</v>
      </c>
      <c r="C513" s="5">
        <v>2017</v>
      </c>
      <c r="D513" s="1">
        <v>9</v>
      </c>
      <c r="E513" s="8" t="s">
        <v>8</v>
      </c>
    </row>
    <row r="514" spans="1:5" x14ac:dyDescent="0.3">
      <c r="A514" s="1">
        <v>1630</v>
      </c>
      <c r="B514" s="3">
        <v>2007</v>
      </c>
      <c r="C514" s="5">
        <v>2017</v>
      </c>
      <c r="D514" s="1">
        <v>10</v>
      </c>
      <c r="E514" s="8" t="s">
        <v>8</v>
      </c>
    </row>
    <row r="515" spans="1:5" x14ac:dyDescent="0.3">
      <c r="A515" s="1">
        <v>1041</v>
      </c>
      <c r="B515" s="3">
        <v>2008</v>
      </c>
      <c r="C515" s="5">
        <v>2017</v>
      </c>
      <c r="D515" s="1">
        <v>6</v>
      </c>
      <c r="E515" s="8" t="s">
        <v>8</v>
      </c>
    </row>
    <row r="516" spans="1:5" x14ac:dyDescent="0.3">
      <c r="A516" s="1">
        <v>1190</v>
      </c>
      <c r="B516" s="3">
        <v>2014</v>
      </c>
      <c r="C516" s="5">
        <v>2014</v>
      </c>
      <c r="D516" s="1">
        <v>1</v>
      </c>
      <c r="E516" s="8" t="s">
        <v>8</v>
      </c>
    </row>
    <row r="517" spans="1:5" x14ac:dyDescent="0.3">
      <c r="A517" s="1">
        <v>1602</v>
      </c>
      <c r="B517" s="3">
        <v>2014</v>
      </c>
      <c r="C517" s="5">
        <v>2014</v>
      </c>
      <c r="D517" s="1">
        <v>1</v>
      </c>
      <c r="E517" s="8" t="s">
        <v>8</v>
      </c>
    </row>
    <row r="518" spans="1:5" x14ac:dyDescent="0.3">
      <c r="A518" s="1">
        <v>1627</v>
      </c>
      <c r="B518" s="3">
        <v>2014</v>
      </c>
      <c r="C518" s="5">
        <v>2014</v>
      </c>
      <c r="D518" s="1">
        <v>1</v>
      </c>
      <c r="E518" s="8" t="s">
        <v>8</v>
      </c>
    </row>
    <row r="519" spans="1:5" x14ac:dyDescent="0.3">
      <c r="A519" s="1">
        <v>1631</v>
      </c>
      <c r="B519" s="3">
        <v>2014</v>
      </c>
      <c r="C519" s="5">
        <v>2016</v>
      </c>
      <c r="D519" s="1">
        <v>2</v>
      </c>
      <c r="E519" s="8" t="s">
        <v>8</v>
      </c>
    </row>
    <row r="520" spans="1:5" x14ac:dyDescent="0.3">
      <c r="A520" s="1">
        <v>1596</v>
      </c>
      <c r="B520" s="3">
        <v>2014</v>
      </c>
      <c r="C520" s="5">
        <v>2017</v>
      </c>
      <c r="D520" s="1">
        <v>4</v>
      </c>
      <c r="E520" s="8" t="s">
        <v>8</v>
      </c>
    </row>
    <row r="521" spans="1:5" x14ac:dyDescent="0.3">
      <c r="A521" s="1">
        <v>1944</v>
      </c>
      <c r="B521" s="3">
        <v>2015</v>
      </c>
      <c r="C521" s="5">
        <v>2015</v>
      </c>
      <c r="D521" s="1">
        <v>1</v>
      </c>
      <c r="E521" s="8" t="s">
        <v>8</v>
      </c>
    </row>
    <row r="522" spans="1:5" x14ac:dyDescent="0.3">
      <c r="A522" s="1">
        <v>2030</v>
      </c>
      <c r="B522" s="3">
        <v>2016</v>
      </c>
      <c r="C522" s="5">
        <v>2017</v>
      </c>
      <c r="D522" s="1">
        <v>2</v>
      </c>
      <c r="E522" s="8" t="s">
        <v>8</v>
      </c>
    </row>
    <row r="523" spans="1:5" x14ac:dyDescent="0.3">
      <c r="A523" s="1">
        <v>1709</v>
      </c>
      <c r="B523" s="3">
        <v>2013</v>
      </c>
      <c r="C523" s="5">
        <v>2015</v>
      </c>
      <c r="D523" s="1">
        <v>2</v>
      </c>
      <c r="E523" s="8" t="s">
        <v>107</v>
      </c>
    </row>
    <row r="524" spans="1:5" x14ac:dyDescent="0.3">
      <c r="A524" s="1">
        <v>2002</v>
      </c>
      <c r="B524" s="3">
        <v>2016</v>
      </c>
      <c r="C524" s="5">
        <v>2016</v>
      </c>
      <c r="D524" s="1">
        <v>1</v>
      </c>
      <c r="E524" s="8" t="s">
        <v>107</v>
      </c>
    </row>
    <row r="525" spans="1:5" x14ac:dyDescent="0.3">
      <c r="A525" s="1">
        <v>2003</v>
      </c>
      <c r="B525" s="3">
        <v>2016</v>
      </c>
      <c r="C525" s="5">
        <v>2016</v>
      </c>
      <c r="D525" s="1">
        <v>1</v>
      </c>
      <c r="E525" s="8" t="s">
        <v>107</v>
      </c>
    </row>
    <row r="526" spans="1:5" x14ac:dyDescent="0.3">
      <c r="A526" s="1">
        <v>1458</v>
      </c>
      <c r="B526" s="3">
        <v>1990</v>
      </c>
      <c r="C526" s="5">
        <v>2015</v>
      </c>
      <c r="D526" s="1">
        <v>13</v>
      </c>
      <c r="E526" s="8" t="s">
        <v>94</v>
      </c>
    </row>
    <row r="527" spans="1:5" x14ac:dyDescent="0.3">
      <c r="A527" s="1">
        <v>1798</v>
      </c>
      <c r="B527" s="3">
        <v>2015</v>
      </c>
      <c r="C527" s="5">
        <v>2015</v>
      </c>
      <c r="D527" s="1">
        <v>1</v>
      </c>
      <c r="E527" s="8" t="s">
        <v>94</v>
      </c>
    </row>
    <row r="528" spans="1:5" x14ac:dyDescent="0.3">
      <c r="A528" s="1">
        <v>1877</v>
      </c>
      <c r="B528" s="3">
        <v>2015</v>
      </c>
      <c r="C528" s="5">
        <v>2015</v>
      </c>
      <c r="D528" s="1">
        <v>1</v>
      </c>
      <c r="E528" s="8" t="s">
        <v>94</v>
      </c>
    </row>
    <row r="529" spans="1:5" x14ac:dyDescent="0.3">
      <c r="A529" s="1">
        <v>1107</v>
      </c>
      <c r="B529" s="3">
        <v>1991</v>
      </c>
      <c r="C529" s="5">
        <v>2012</v>
      </c>
      <c r="D529" s="1">
        <v>6</v>
      </c>
      <c r="E529" s="8" t="s">
        <v>46</v>
      </c>
    </row>
    <row r="530" spans="1:5" x14ac:dyDescent="0.3">
      <c r="A530" s="1">
        <v>2266</v>
      </c>
      <c r="B530" s="3">
        <v>1994</v>
      </c>
      <c r="C530" s="5">
        <v>1998</v>
      </c>
      <c r="D530" s="1">
        <v>2</v>
      </c>
      <c r="E530" s="8" t="s">
        <v>46</v>
      </c>
    </row>
    <row r="531" spans="1:5" x14ac:dyDescent="0.3">
      <c r="A531" s="1">
        <v>2093</v>
      </c>
      <c r="B531" s="3">
        <v>1995</v>
      </c>
      <c r="C531" s="5">
        <v>1998</v>
      </c>
      <c r="D531" s="1">
        <v>2</v>
      </c>
      <c r="E531" s="8" t="s">
        <v>46</v>
      </c>
    </row>
    <row r="532" spans="1:5" x14ac:dyDescent="0.3">
      <c r="A532" s="1">
        <v>1274</v>
      </c>
      <c r="B532" s="3">
        <v>2007</v>
      </c>
      <c r="C532" s="5">
        <v>2017</v>
      </c>
      <c r="D532" s="1">
        <v>4</v>
      </c>
      <c r="E532" s="8" t="s">
        <v>46</v>
      </c>
    </row>
    <row r="533" spans="1:5" x14ac:dyDescent="0.3">
      <c r="A533" s="1">
        <v>1273</v>
      </c>
      <c r="B533" s="3">
        <v>2014</v>
      </c>
      <c r="C533" s="5">
        <v>2014</v>
      </c>
      <c r="D533" s="1">
        <v>1</v>
      </c>
      <c r="E533" s="8" t="s">
        <v>46</v>
      </c>
    </row>
    <row r="534" spans="1:5" x14ac:dyDescent="0.3">
      <c r="A534" s="1">
        <v>2012</v>
      </c>
      <c r="B534" s="3">
        <v>2016</v>
      </c>
      <c r="C534" s="5">
        <v>2016</v>
      </c>
      <c r="D534" s="1">
        <v>1</v>
      </c>
      <c r="E534" s="8" t="s">
        <v>46</v>
      </c>
    </row>
    <row r="535" spans="1:5" x14ac:dyDescent="0.3">
      <c r="A535" s="1">
        <v>1039</v>
      </c>
      <c r="B535" s="3">
        <v>1990</v>
      </c>
      <c r="C535" s="5">
        <v>2013</v>
      </c>
      <c r="D535" s="1">
        <v>7</v>
      </c>
      <c r="E535" s="8" t="s">
        <v>10</v>
      </c>
    </row>
    <row r="536" spans="1:5" x14ac:dyDescent="0.3">
      <c r="A536" s="1">
        <v>1742</v>
      </c>
      <c r="B536" s="3">
        <v>1991</v>
      </c>
      <c r="C536" s="5">
        <v>2017</v>
      </c>
      <c r="D536" s="1">
        <v>16</v>
      </c>
      <c r="E536" s="8" t="s">
        <v>10</v>
      </c>
    </row>
    <row r="537" spans="1:5" x14ac:dyDescent="0.3">
      <c r="A537" s="1">
        <v>1011</v>
      </c>
      <c r="B537" s="3">
        <v>1995</v>
      </c>
      <c r="C537" s="5">
        <v>2014</v>
      </c>
      <c r="D537" s="1">
        <v>10</v>
      </c>
      <c r="E537" s="8" t="s">
        <v>10</v>
      </c>
    </row>
    <row r="538" spans="1:5" x14ac:dyDescent="0.3">
      <c r="A538" s="1">
        <v>1740</v>
      </c>
      <c r="B538" s="3">
        <v>1998</v>
      </c>
      <c r="C538" s="5">
        <v>2016</v>
      </c>
      <c r="D538" s="1">
        <v>4</v>
      </c>
      <c r="E538" s="8" t="s">
        <v>10</v>
      </c>
    </row>
    <row r="539" spans="1:5" x14ac:dyDescent="0.3">
      <c r="A539" s="1">
        <v>1744</v>
      </c>
      <c r="B539" s="3">
        <v>1998</v>
      </c>
      <c r="C539" s="5">
        <v>2017</v>
      </c>
      <c r="D539" s="1">
        <v>11</v>
      </c>
      <c r="E539" s="8" t="s">
        <v>10</v>
      </c>
    </row>
    <row r="540" spans="1:5" x14ac:dyDescent="0.3">
      <c r="A540" s="1">
        <v>1221</v>
      </c>
      <c r="B540" s="3">
        <v>2007</v>
      </c>
      <c r="C540" s="5">
        <v>2017</v>
      </c>
      <c r="D540" s="1">
        <v>22</v>
      </c>
      <c r="E540" s="8" t="s">
        <v>10</v>
      </c>
    </row>
    <row r="541" spans="1:5" x14ac:dyDescent="0.3">
      <c r="A541" s="1">
        <v>1728</v>
      </c>
      <c r="B541" s="3">
        <v>2007</v>
      </c>
      <c r="C541" s="5">
        <v>2017</v>
      </c>
      <c r="D541" s="1">
        <v>11</v>
      </c>
      <c r="E541" s="8" t="s">
        <v>10</v>
      </c>
    </row>
    <row r="542" spans="1:5" x14ac:dyDescent="0.3">
      <c r="A542" s="1">
        <v>1743</v>
      </c>
      <c r="B542" s="3">
        <v>2007</v>
      </c>
      <c r="C542" s="5">
        <v>2017</v>
      </c>
      <c r="D542" s="1">
        <v>9</v>
      </c>
      <c r="E542" s="8" t="s">
        <v>10</v>
      </c>
    </row>
    <row r="543" spans="1:5" x14ac:dyDescent="0.3">
      <c r="A543" s="1">
        <v>1737</v>
      </c>
      <c r="B543" s="3">
        <v>2011</v>
      </c>
      <c r="C543" s="5">
        <v>2015</v>
      </c>
      <c r="D543" s="1">
        <v>4</v>
      </c>
      <c r="E543" s="8" t="s">
        <v>10</v>
      </c>
    </row>
    <row r="544" spans="1:5" x14ac:dyDescent="0.3">
      <c r="A544" s="1">
        <v>1738</v>
      </c>
      <c r="B544" s="3">
        <v>2012</v>
      </c>
      <c r="C544" s="5">
        <v>2012</v>
      </c>
      <c r="D544" s="1">
        <v>1</v>
      </c>
      <c r="E544" s="8" t="s">
        <v>10</v>
      </c>
    </row>
    <row r="545" spans="1:5" x14ac:dyDescent="0.3">
      <c r="A545" s="1">
        <v>1741</v>
      </c>
      <c r="B545" s="3">
        <v>2012</v>
      </c>
      <c r="C545" s="5">
        <v>2013</v>
      </c>
      <c r="D545" s="1">
        <v>2</v>
      </c>
      <c r="E545" s="8" t="s">
        <v>10</v>
      </c>
    </row>
    <row r="546" spans="1:5" x14ac:dyDescent="0.3">
      <c r="A546" s="1">
        <v>2049</v>
      </c>
      <c r="B546" s="3">
        <v>2016</v>
      </c>
      <c r="C546" s="5">
        <v>2017</v>
      </c>
      <c r="D546" s="1">
        <v>4</v>
      </c>
      <c r="E546" s="8" t="s">
        <v>10</v>
      </c>
    </row>
    <row r="547" spans="1:5" x14ac:dyDescent="0.3">
      <c r="A547" s="1">
        <v>2159</v>
      </c>
      <c r="B547" s="3">
        <v>2017</v>
      </c>
      <c r="C547" s="5">
        <v>2017</v>
      </c>
      <c r="D547" s="1">
        <v>1</v>
      </c>
      <c r="E547" s="8" t="s">
        <v>10</v>
      </c>
    </row>
    <row r="548" spans="1:5" x14ac:dyDescent="0.3">
      <c r="A548" s="1">
        <v>1423</v>
      </c>
      <c r="B548" s="3">
        <v>2011</v>
      </c>
      <c r="C548" s="5">
        <v>2011</v>
      </c>
      <c r="D548" s="1">
        <v>1</v>
      </c>
      <c r="E548" s="8" t="s">
        <v>92</v>
      </c>
    </row>
    <row r="549" spans="1:5" x14ac:dyDescent="0.3">
      <c r="A549" s="1">
        <v>1693</v>
      </c>
      <c r="B549" s="3">
        <v>1990</v>
      </c>
      <c r="C549" s="5">
        <v>2014</v>
      </c>
      <c r="D549" s="1">
        <v>12</v>
      </c>
      <c r="E549" s="8" t="s">
        <v>37</v>
      </c>
    </row>
    <row r="550" spans="1:5" x14ac:dyDescent="0.3">
      <c r="A550" s="1">
        <v>1694</v>
      </c>
      <c r="B550" s="3">
        <v>1991</v>
      </c>
      <c r="C550" s="5">
        <v>2008</v>
      </c>
      <c r="D550" s="1">
        <v>7</v>
      </c>
      <c r="E550" s="8" t="s">
        <v>37</v>
      </c>
    </row>
    <row r="551" spans="1:5" x14ac:dyDescent="0.3">
      <c r="A551" s="1">
        <v>1068</v>
      </c>
      <c r="B551" s="3">
        <v>1991</v>
      </c>
      <c r="C551" s="5">
        <v>2009</v>
      </c>
      <c r="D551" s="1">
        <v>9</v>
      </c>
      <c r="E551" s="8" t="s">
        <v>37</v>
      </c>
    </row>
    <row r="552" spans="1:5" x14ac:dyDescent="0.3">
      <c r="A552" s="1">
        <v>1695</v>
      </c>
      <c r="B552" s="3">
        <v>1991</v>
      </c>
      <c r="C552" s="5">
        <v>2014</v>
      </c>
      <c r="D552" s="1">
        <v>5</v>
      </c>
      <c r="E552" s="8" t="s">
        <v>37</v>
      </c>
    </row>
    <row r="553" spans="1:5" x14ac:dyDescent="0.3">
      <c r="A553" s="1">
        <v>1328</v>
      </c>
      <c r="B553" s="3">
        <v>2008</v>
      </c>
      <c r="C553" s="5">
        <v>2008</v>
      </c>
      <c r="D553" s="1">
        <v>1</v>
      </c>
      <c r="E553" s="8" t="s">
        <v>37</v>
      </c>
    </row>
    <row r="554" spans="1:5" x14ac:dyDescent="0.3">
      <c r="A554" s="1">
        <v>1696</v>
      </c>
      <c r="B554" s="3">
        <v>2008</v>
      </c>
      <c r="C554" s="5">
        <v>2014</v>
      </c>
      <c r="D554" s="1">
        <v>3</v>
      </c>
      <c r="E554" s="8" t="s">
        <v>37</v>
      </c>
    </row>
    <row r="555" spans="1:5" x14ac:dyDescent="0.3">
      <c r="A555" s="1">
        <v>1697</v>
      </c>
      <c r="B555" s="3">
        <v>2014</v>
      </c>
      <c r="C555" s="5">
        <v>2014</v>
      </c>
      <c r="D555" s="1">
        <v>1</v>
      </c>
      <c r="E555" s="8" t="s">
        <v>37</v>
      </c>
    </row>
    <row r="556" spans="1:5" x14ac:dyDescent="0.3">
      <c r="A556" s="1">
        <v>2068</v>
      </c>
      <c r="B556" s="3">
        <v>2018</v>
      </c>
      <c r="C556" s="5">
        <v>2018</v>
      </c>
      <c r="D556" s="1">
        <v>1</v>
      </c>
      <c r="E556" s="8" t="s">
        <v>37</v>
      </c>
    </row>
    <row r="557" spans="1:5" x14ac:dyDescent="0.3">
      <c r="A557" s="1">
        <v>2151</v>
      </c>
      <c r="B557" s="3">
        <v>1983</v>
      </c>
      <c r="C557" s="5">
        <v>1983</v>
      </c>
      <c r="D557" s="1">
        <v>1</v>
      </c>
      <c r="E557" s="8" t="s">
        <v>70</v>
      </c>
    </row>
    <row r="558" spans="1:5" x14ac:dyDescent="0.3">
      <c r="A558" s="1">
        <v>1255</v>
      </c>
      <c r="B558" s="3">
        <v>1990</v>
      </c>
      <c r="C558" s="5">
        <v>2015</v>
      </c>
      <c r="D558" s="1">
        <v>21</v>
      </c>
      <c r="E558" s="8" t="s">
        <v>70</v>
      </c>
    </row>
    <row r="559" spans="1:5" x14ac:dyDescent="0.3">
      <c r="A559" s="1">
        <v>1258</v>
      </c>
      <c r="B559" s="3">
        <v>1990</v>
      </c>
      <c r="C559" s="5">
        <v>2016</v>
      </c>
      <c r="D559" s="1">
        <v>18</v>
      </c>
      <c r="E559" s="8" t="s">
        <v>70</v>
      </c>
    </row>
    <row r="560" spans="1:5" x14ac:dyDescent="0.3">
      <c r="A560" s="1">
        <v>1389</v>
      </c>
      <c r="B560" s="3">
        <v>1992</v>
      </c>
      <c r="C560" s="5">
        <v>2015</v>
      </c>
      <c r="D560" s="1">
        <v>14</v>
      </c>
      <c r="E560" s="8" t="s">
        <v>70</v>
      </c>
    </row>
    <row r="561" spans="1:5" x14ac:dyDescent="0.3">
      <c r="A561" s="1">
        <v>2200</v>
      </c>
      <c r="B561" s="3">
        <v>1998</v>
      </c>
      <c r="C561" s="5">
        <v>1998</v>
      </c>
      <c r="D561" s="1">
        <v>1</v>
      </c>
      <c r="E561" s="8" t="s">
        <v>70</v>
      </c>
    </row>
    <row r="562" spans="1:5" x14ac:dyDescent="0.3">
      <c r="A562" s="1">
        <v>1922</v>
      </c>
      <c r="B562" s="3">
        <v>2007</v>
      </c>
      <c r="C562" s="5">
        <v>2007</v>
      </c>
      <c r="D562" s="1">
        <v>1</v>
      </c>
      <c r="E562" s="8" t="s">
        <v>70</v>
      </c>
    </row>
    <row r="563" spans="1:5" x14ac:dyDescent="0.3">
      <c r="A563" s="1">
        <v>1135</v>
      </c>
      <c r="B563" s="3">
        <v>1990</v>
      </c>
      <c r="C563" s="5">
        <v>2012</v>
      </c>
      <c r="D563" s="1">
        <v>8</v>
      </c>
      <c r="E563" s="8" t="s">
        <v>52</v>
      </c>
    </row>
    <row r="564" spans="1:5" x14ac:dyDescent="0.3">
      <c r="A564" s="1">
        <v>1848</v>
      </c>
      <c r="B564" s="3">
        <v>1991</v>
      </c>
      <c r="C564" s="5">
        <v>2007</v>
      </c>
      <c r="D564" s="1">
        <v>7</v>
      </c>
      <c r="E564" s="8" t="s">
        <v>52</v>
      </c>
    </row>
    <row r="565" spans="1:5" x14ac:dyDescent="0.3">
      <c r="A565" s="1">
        <v>1261</v>
      </c>
      <c r="B565" s="3">
        <v>1992</v>
      </c>
      <c r="C565" s="5">
        <v>2012</v>
      </c>
      <c r="D565" s="1">
        <v>5</v>
      </c>
      <c r="E565" s="8" t="s">
        <v>52</v>
      </c>
    </row>
    <row r="566" spans="1:5" x14ac:dyDescent="0.3">
      <c r="A566" s="1">
        <v>1821</v>
      </c>
      <c r="B566" s="3">
        <v>1993</v>
      </c>
      <c r="C566" s="5">
        <v>2007</v>
      </c>
      <c r="D566" s="1">
        <v>3</v>
      </c>
      <c r="E566" s="8" t="s">
        <v>52</v>
      </c>
    </row>
    <row r="567" spans="1:5" x14ac:dyDescent="0.3">
      <c r="A567" s="1">
        <v>1528</v>
      </c>
      <c r="B567" s="3">
        <v>1995</v>
      </c>
      <c r="C567" s="5">
        <v>2014</v>
      </c>
      <c r="D567" s="1">
        <v>7</v>
      </c>
      <c r="E567" s="8" t="s">
        <v>52</v>
      </c>
    </row>
    <row r="568" spans="1:5" x14ac:dyDescent="0.3">
      <c r="A568" s="1">
        <v>1535</v>
      </c>
      <c r="B568" s="3">
        <v>1998</v>
      </c>
      <c r="C568" s="5">
        <v>2013</v>
      </c>
      <c r="D568" s="1">
        <v>8</v>
      </c>
      <c r="E568" s="8" t="s">
        <v>52</v>
      </c>
    </row>
    <row r="569" spans="1:5" x14ac:dyDescent="0.3">
      <c r="A569" s="1">
        <v>1853</v>
      </c>
      <c r="B569" s="3">
        <v>2007</v>
      </c>
      <c r="C569" s="5">
        <v>2007</v>
      </c>
      <c r="D569" s="1">
        <v>1</v>
      </c>
      <c r="E569" s="8" t="s">
        <v>52</v>
      </c>
    </row>
    <row r="570" spans="1:5" x14ac:dyDescent="0.3">
      <c r="A570" s="1">
        <v>1865</v>
      </c>
      <c r="B570" s="3">
        <v>2007</v>
      </c>
      <c r="C570" s="5">
        <v>2007</v>
      </c>
      <c r="D570" s="1">
        <v>1</v>
      </c>
      <c r="E570" s="8" t="s">
        <v>52</v>
      </c>
    </row>
    <row r="571" spans="1:5" x14ac:dyDescent="0.3">
      <c r="A571" s="1">
        <v>1260</v>
      </c>
      <c r="B571" s="3">
        <v>2007</v>
      </c>
      <c r="C571" s="5">
        <v>2013</v>
      </c>
      <c r="D571" s="1">
        <v>3</v>
      </c>
      <c r="E571" s="8" t="s">
        <v>52</v>
      </c>
    </row>
    <row r="572" spans="1:5" x14ac:dyDescent="0.3">
      <c r="A572" s="1">
        <v>1137</v>
      </c>
      <c r="B572" s="3">
        <v>2007</v>
      </c>
      <c r="C572" s="5">
        <v>2014</v>
      </c>
      <c r="D572" s="1">
        <v>3</v>
      </c>
      <c r="E572" s="8" t="s">
        <v>52</v>
      </c>
    </row>
    <row r="573" spans="1:5" x14ac:dyDescent="0.3">
      <c r="A573" s="1">
        <v>1475</v>
      </c>
      <c r="B573" s="3">
        <v>2007</v>
      </c>
      <c r="C573" s="5">
        <v>2016</v>
      </c>
      <c r="D573" s="1">
        <v>8</v>
      </c>
      <c r="E573" s="8" t="s">
        <v>52</v>
      </c>
    </row>
    <row r="574" spans="1:5" x14ac:dyDescent="0.3">
      <c r="A574" s="1">
        <v>1348</v>
      </c>
      <c r="B574" s="3">
        <v>2008</v>
      </c>
      <c r="C574" s="5">
        <v>2011</v>
      </c>
      <c r="D574" s="1">
        <v>5</v>
      </c>
      <c r="E574" s="8" t="s">
        <v>52</v>
      </c>
    </row>
    <row r="575" spans="1:5" x14ac:dyDescent="0.3">
      <c r="A575" s="1">
        <v>1763</v>
      </c>
      <c r="B575" s="3">
        <v>2011</v>
      </c>
      <c r="C575" s="5">
        <v>2011</v>
      </c>
      <c r="D575" s="1">
        <v>1</v>
      </c>
      <c r="E575" s="8" t="s">
        <v>52</v>
      </c>
    </row>
    <row r="576" spans="1:5" x14ac:dyDescent="0.3">
      <c r="A576" s="1">
        <v>1547</v>
      </c>
      <c r="B576" s="3">
        <v>2012</v>
      </c>
      <c r="C576" s="5">
        <v>2012</v>
      </c>
      <c r="D576" s="1">
        <v>1</v>
      </c>
      <c r="E576" s="8" t="s">
        <v>52</v>
      </c>
    </row>
    <row r="577" spans="1:5" x14ac:dyDescent="0.3">
      <c r="A577" s="1">
        <v>1532</v>
      </c>
      <c r="B577" s="3">
        <v>2012</v>
      </c>
      <c r="C577" s="5">
        <v>2014</v>
      </c>
      <c r="D577" s="1">
        <v>4</v>
      </c>
      <c r="E577" s="8" t="s">
        <v>52</v>
      </c>
    </row>
    <row r="578" spans="1:5" x14ac:dyDescent="0.3">
      <c r="A578" s="1">
        <v>1526</v>
      </c>
      <c r="B578" s="3">
        <v>2013</v>
      </c>
      <c r="C578" s="5">
        <v>2013</v>
      </c>
      <c r="D578" s="1">
        <v>2</v>
      </c>
      <c r="E578" s="8" t="s">
        <v>52</v>
      </c>
    </row>
    <row r="579" spans="1:5" x14ac:dyDescent="0.3">
      <c r="A579" s="1">
        <v>1245</v>
      </c>
      <c r="B579" s="3">
        <v>2013</v>
      </c>
      <c r="C579" s="5">
        <v>2014</v>
      </c>
      <c r="D579" s="1">
        <v>3</v>
      </c>
      <c r="E579" s="8" t="s">
        <v>52</v>
      </c>
    </row>
    <row r="580" spans="1:5" x14ac:dyDescent="0.3">
      <c r="A580" s="1">
        <v>1780</v>
      </c>
      <c r="B580" s="3">
        <v>2015</v>
      </c>
      <c r="C580" s="5">
        <v>2015</v>
      </c>
      <c r="D580" s="1">
        <v>2</v>
      </c>
      <c r="E580" s="8" t="s">
        <v>52</v>
      </c>
    </row>
    <row r="581" spans="1:5" x14ac:dyDescent="0.3">
      <c r="A581" s="1">
        <v>1784</v>
      </c>
      <c r="B581" s="3">
        <v>2015</v>
      </c>
      <c r="C581" s="5">
        <v>2015</v>
      </c>
      <c r="D581" s="1">
        <v>2</v>
      </c>
      <c r="E581" s="8" t="s">
        <v>52</v>
      </c>
    </row>
    <row r="582" spans="1:5" x14ac:dyDescent="0.3">
      <c r="A582" s="1">
        <v>2193</v>
      </c>
      <c r="B582" s="3">
        <v>1983</v>
      </c>
      <c r="C582" s="5">
        <v>1990</v>
      </c>
      <c r="D582" s="1">
        <v>2</v>
      </c>
      <c r="E582" s="8" t="s">
        <v>47</v>
      </c>
    </row>
    <row r="583" spans="1:5" x14ac:dyDescent="0.3">
      <c r="A583" s="1">
        <v>1934</v>
      </c>
      <c r="B583" s="3">
        <v>1990</v>
      </c>
      <c r="C583" s="5">
        <v>2007</v>
      </c>
      <c r="D583" s="1">
        <v>8</v>
      </c>
      <c r="E583" s="8" t="s">
        <v>47</v>
      </c>
    </row>
    <row r="584" spans="1:5" x14ac:dyDescent="0.3">
      <c r="A584" s="1">
        <v>1177</v>
      </c>
      <c r="B584" s="3">
        <v>1990</v>
      </c>
      <c r="C584" s="5">
        <v>2010</v>
      </c>
      <c r="D584" s="1">
        <v>6</v>
      </c>
      <c r="E584" s="8" t="s">
        <v>47</v>
      </c>
    </row>
    <row r="585" spans="1:5" x14ac:dyDescent="0.3">
      <c r="A585" s="1">
        <v>1381</v>
      </c>
      <c r="B585" s="3">
        <v>1990</v>
      </c>
      <c r="C585" s="5">
        <v>2011</v>
      </c>
      <c r="D585" s="1">
        <v>6</v>
      </c>
      <c r="E585" s="8" t="s">
        <v>47</v>
      </c>
    </row>
    <row r="586" spans="1:5" x14ac:dyDescent="0.3">
      <c r="A586" s="1">
        <v>1931</v>
      </c>
      <c r="B586" s="3">
        <v>1992</v>
      </c>
      <c r="C586" s="5">
        <v>2007</v>
      </c>
      <c r="D586" s="1">
        <v>4</v>
      </c>
      <c r="E586" s="8" t="s">
        <v>47</v>
      </c>
    </row>
    <row r="587" spans="1:5" x14ac:dyDescent="0.3">
      <c r="A587" s="1">
        <v>1117</v>
      </c>
      <c r="B587" s="3">
        <v>1992</v>
      </c>
      <c r="C587" s="5">
        <v>2011</v>
      </c>
      <c r="D587" s="1">
        <v>7</v>
      </c>
      <c r="E587" s="8" t="s">
        <v>47</v>
      </c>
    </row>
    <row r="588" spans="1:5" x14ac:dyDescent="0.3">
      <c r="A588" s="1">
        <v>1621</v>
      </c>
      <c r="B588" s="3">
        <v>1993</v>
      </c>
      <c r="C588" s="5">
        <v>2016</v>
      </c>
      <c r="D588" s="1">
        <v>4</v>
      </c>
      <c r="E588" s="8" t="s">
        <v>47</v>
      </c>
    </row>
    <row r="589" spans="1:5" x14ac:dyDescent="0.3">
      <c r="A589" s="1">
        <v>1421</v>
      </c>
      <c r="B589" s="3">
        <v>1995</v>
      </c>
      <c r="C589" s="5">
        <v>2015</v>
      </c>
      <c r="D589" s="1">
        <v>15</v>
      </c>
      <c r="E589" s="8" t="s">
        <v>47</v>
      </c>
    </row>
    <row r="590" spans="1:5" x14ac:dyDescent="0.3">
      <c r="A590" s="1">
        <v>1116</v>
      </c>
      <c r="B590" s="3">
        <v>1995</v>
      </c>
      <c r="C590" s="5">
        <v>2017</v>
      </c>
      <c r="D590" s="1">
        <v>18</v>
      </c>
      <c r="E590" s="8" t="s">
        <v>47</v>
      </c>
    </row>
    <row r="591" spans="1:5" x14ac:dyDescent="0.3">
      <c r="A591" s="1">
        <v>1464</v>
      </c>
      <c r="B591" s="3">
        <v>1998</v>
      </c>
      <c r="C591" s="5">
        <v>2016</v>
      </c>
      <c r="D591" s="1">
        <v>5</v>
      </c>
      <c r="E591" s="8" t="s">
        <v>47</v>
      </c>
    </row>
    <row r="592" spans="1:5" x14ac:dyDescent="0.3">
      <c r="A592" s="1">
        <v>1379</v>
      </c>
      <c r="B592" s="3">
        <v>2004</v>
      </c>
      <c r="C592" s="5">
        <v>2013</v>
      </c>
      <c r="D592" s="1">
        <v>4</v>
      </c>
      <c r="E592" s="8" t="s">
        <v>47</v>
      </c>
    </row>
    <row r="593" spans="1:5" x14ac:dyDescent="0.3">
      <c r="A593" s="1">
        <v>1199</v>
      </c>
      <c r="B593" s="3">
        <v>2007</v>
      </c>
      <c r="C593" s="5">
        <v>2011</v>
      </c>
      <c r="D593" s="1">
        <v>4</v>
      </c>
      <c r="E593" s="8" t="s">
        <v>47</v>
      </c>
    </row>
    <row r="594" spans="1:5" x14ac:dyDescent="0.3">
      <c r="A594" s="1">
        <v>1209</v>
      </c>
      <c r="B594" s="3">
        <v>2008</v>
      </c>
      <c r="C594" s="5">
        <v>2008</v>
      </c>
      <c r="D594" s="1">
        <v>1</v>
      </c>
      <c r="E594" s="8" t="s">
        <v>47</v>
      </c>
    </row>
    <row r="595" spans="1:5" x14ac:dyDescent="0.3">
      <c r="A595" s="1">
        <v>1422</v>
      </c>
      <c r="B595" s="3">
        <v>2008</v>
      </c>
      <c r="C595" s="5">
        <v>2008</v>
      </c>
      <c r="D595" s="1">
        <v>1</v>
      </c>
      <c r="E595" s="8" t="s">
        <v>47</v>
      </c>
    </row>
    <row r="596" spans="1:5" x14ac:dyDescent="0.3">
      <c r="A596" s="1">
        <v>1620</v>
      </c>
      <c r="B596" s="3">
        <v>2008</v>
      </c>
      <c r="C596" s="5">
        <v>2016</v>
      </c>
      <c r="D596" s="1">
        <v>5</v>
      </c>
      <c r="E596" s="8" t="s">
        <v>47</v>
      </c>
    </row>
    <row r="597" spans="1:5" x14ac:dyDescent="0.3">
      <c r="A597" s="1">
        <v>1259</v>
      </c>
      <c r="B597" s="3">
        <v>2011</v>
      </c>
      <c r="C597" s="5">
        <v>2011</v>
      </c>
      <c r="D597" s="1">
        <v>1</v>
      </c>
      <c r="E597" s="8" t="s">
        <v>47</v>
      </c>
    </row>
    <row r="598" spans="1:5" x14ac:dyDescent="0.3">
      <c r="A598" s="1">
        <v>1380</v>
      </c>
      <c r="B598" s="3">
        <v>2011</v>
      </c>
      <c r="C598" s="5">
        <v>2016</v>
      </c>
      <c r="D598" s="1">
        <v>5</v>
      </c>
      <c r="E598" s="8" t="s">
        <v>47</v>
      </c>
    </row>
    <row r="599" spans="1:5" x14ac:dyDescent="0.3">
      <c r="A599" s="1">
        <v>1618</v>
      </c>
      <c r="B599" s="3">
        <v>2011</v>
      </c>
      <c r="C599" s="5">
        <v>2017</v>
      </c>
      <c r="D599" s="1">
        <v>3</v>
      </c>
      <c r="E599" s="8" t="s">
        <v>47</v>
      </c>
    </row>
    <row r="600" spans="1:5" x14ac:dyDescent="0.3">
      <c r="A600" s="1">
        <v>1465</v>
      </c>
      <c r="B600" s="3">
        <v>2012</v>
      </c>
      <c r="C600" s="5">
        <v>2013</v>
      </c>
      <c r="D600" s="1">
        <v>4</v>
      </c>
      <c r="E600" s="8" t="s">
        <v>47</v>
      </c>
    </row>
    <row r="601" spans="1:5" x14ac:dyDescent="0.3">
      <c r="A601" s="1">
        <v>1180</v>
      </c>
      <c r="B601" s="3">
        <v>2012</v>
      </c>
      <c r="C601" s="5">
        <v>2016</v>
      </c>
      <c r="D601" s="1">
        <v>5</v>
      </c>
      <c r="E601" s="8" t="s">
        <v>47</v>
      </c>
    </row>
    <row r="602" spans="1:5" x14ac:dyDescent="0.3">
      <c r="A602" s="1">
        <v>1656</v>
      </c>
      <c r="B602" s="3">
        <v>2014</v>
      </c>
      <c r="C602" s="5">
        <v>2014</v>
      </c>
      <c r="D602" s="1">
        <v>1</v>
      </c>
      <c r="E602" s="8" t="s">
        <v>47</v>
      </c>
    </row>
    <row r="603" spans="1:5" x14ac:dyDescent="0.3">
      <c r="A603" s="1">
        <v>1419</v>
      </c>
      <c r="B603" s="3">
        <v>2014</v>
      </c>
      <c r="C603" s="5">
        <v>2017</v>
      </c>
      <c r="D603" s="1">
        <v>4</v>
      </c>
      <c r="E603" s="8" t="s">
        <v>47</v>
      </c>
    </row>
    <row r="604" spans="1:5" x14ac:dyDescent="0.3">
      <c r="A604" s="1">
        <v>2019</v>
      </c>
      <c r="B604" s="3">
        <v>2016</v>
      </c>
      <c r="C604" s="5">
        <v>2016</v>
      </c>
      <c r="D604" s="1">
        <v>1</v>
      </c>
      <c r="E604" s="8" t="s">
        <v>47</v>
      </c>
    </row>
    <row r="605" spans="1:5" x14ac:dyDescent="0.3">
      <c r="A605" s="1">
        <v>2043</v>
      </c>
      <c r="B605" s="3">
        <v>2016</v>
      </c>
      <c r="C605" s="5">
        <v>2017</v>
      </c>
      <c r="D605" s="1">
        <v>2</v>
      </c>
      <c r="E605" s="8" t="s">
        <v>47</v>
      </c>
    </row>
    <row r="606" spans="1:5" x14ac:dyDescent="0.3">
      <c r="A606" s="1">
        <v>2145</v>
      </c>
      <c r="B606" s="3">
        <v>1996</v>
      </c>
      <c r="C606" s="5">
        <v>1996</v>
      </c>
      <c r="D606" s="1">
        <v>1</v>
      </c>
      <c r="E606" s="8" t="s">
        <v>134</v>
      </c>
    </row>
    <row r="607" spans="1:5" x14ac:dyDescent="0.3">
      <c r="A607" s="1">
        <v>1962</v>
      </c>
      <c r="B607" s="3">
        <v>2013</v>
      </c>
      <c r="C607" s="5">
        <v>2013</v>
      </c>
      <c r="D607" s="1">
        <v>1</v>
      </c>
      <c r="E607" s="8" t="s">
        <v>3</v>
      </c>
    </row>
    <row r="608" spans="1:5" x14ac:dyDescent="0.3">
      <c r="A608" s="1">
        <v>2095</v>
      </c>
      <c r="B608" s="3">
        <v>1984</v>
      </c>
      <c r="C608" s="5">
        <v>1998</v>
      </c>
      <c r="D608" s="1">
        <v>6</v>
      </c>
      <c r="E608" s="8" t="s">
        <v>3</v>
      </c>
    </row>
    <row r="609" spans="1:5" x14ac:dyDescent="0.3">
      <c r="A609" s="1">
        <v>1862</v>
      </c>
      <c r="B609" s="3">
        <v>1985</v>
      </c>
      <c r="C609" s="5">
        <v>2007</v>
      </c>
      <c r="D609" s="1">
        <v>13</v>
      </c>
      <c r="E609" s="8" t="s">
        <v>3</v>
      </c>
    </row>
    <row r="610" spans="1:5" x14ac:dyDescent="0.3">
      <c r="A610" s="1">
        <v>1812</v>
      </c>
      <c r="B610" s="3">
        <v>1990</v>
      </c>
      <c r="C610" s="5">
        <v>2007</v>
      </c>
      <c r="D610" s="1">
        <v>8</v>
      </c>
      <c r="E610" s="8" t="s">
        <v>3</v>
      </c>
    </row>
    <row r="611" spans="1:5" x14ac:dyDescent="0.3">
      <c r="A611" s="1">
        <v>1153</v>
      </c>
      <c r="B611" s="3">
        <v>1990</v>
      </c>
      <c r="C611" s="5">
        <v>2008</v>
      </c>
      <c r="D611" s="1">
        <v>10</v>
      </c>
      <c r="E611" s="8" t="s">
        <v>3</v>
      </c>
    </row>
    <row r="612" spans="1:5" x14ac:dyDescent="0.3">
      <c r="A612" s="1">
        <v>1054</v>
      </c>
      <c r="B612" s="3">
        <v>1990</v>
      </c>
      <c r="C612" s="5">
        <v>2010</v>
      </c>
      <c r="D612" s="1">
        <v>11</v>
      </c>
      <c r="E612" s="8" t="s">
        <v>3</v>
      </c>
    </row>
    <row r="613" spans="1:5" x14ac:dyDescent="0.3">
      <c r="A613" s="1">
        <v>1228</v>
      </c>
      <c r="B613" s="3">
        <v>1990</v>
      </c>
      <c r="C613" s="5">
        <v>2016</v>
      </c>
      <c r="D613" s="1">
        <v>34</v>
      </c>
      <c r="E613" s="8" t="s">
        <v>3</v>
      </c>
    </row>
    <row r="614" spans="1:5" x14ac:dyDescent="0.3">
      <c r="A614" s="1">
        <v>1078</v>
      </c>
      <c r="B614" s="3">
        <v>1991</v>
      </c>
      <c r="C614" s="5">
        <v>2010</v>
      </c>
      <c r="D614" s="1">
        <v>7</v>
      </c>
      <c r="E614" s="8" t="s">
        <v>3</v>
      </c>
    </row>
    <row r="615" spans="1:5" x14ac:dyDescent="0.3">
      <c r="A615" s="1">
        <v>2154</v>
      </c>
      <c r="B615" s="3">
        <v>1991</v>
      </c>
      <c r="C615" s="5">
        <v>1996</v>
      </c>
      <c r="D615" s="1">
        <v>2</v>
      </c>
      <c r="E615" s="8" t="s">
        <v>3</v>
      </c>
    </row>
    <row r="616" spans="1:5" x14ac:dyDescent="0.3">
      <c r="A616" s="1">
        <v>1676</v>
      </c>
      <c r="B616" s="3">
        <v>1992</v>
      </c>
      <c r="C616" s="5">
        <v>2011</v>
      </c>
      <c r="D616" s="1">
        <v>9</v>
      </c>
      <c r="E616" s="8" t="s">
        <v>3</v>
      </c>
    </row>
    <row r="617" spans="1:5" x14ac:dyDescent="0.3">
      <c r="A617" s="1">
        <v>1077</v>
      </c>
      <c r="B617" s="3">
        <v>1993</v>
      </c>
      <c r="C617" s="5">
        <v>2008</v>
      </c>
      <c r="D617" s="1">
        <v>6</v>
      </c>
      <c r="E617" s="8" t="s">
        <v>3</v>
      </c>
    </row>
    <row r="618" spans="1:5" x14ac:dyDescent="0.3">
      <c r="A618" s="1">
        <v>1278</v>
      </c>
      <c r="B618" s="3">
        <v>1993</v>
      </c>
      <c r="C618" s="5">
        <v>2017</v>
      </c>
      <c r="D618" s="1">
        <v>15</v>
      </c>
      <c r="E618" s="8" t="s">
        <v>3</v>
      </c>
    </row>
    <row r="619" spans="1:5" x14ac:dyDescent="0.3">
      <c r="A619" s="1">
        <v>1231</v>
      </c>
      <c r="B619" s="3">
        <v>1994</v>
      </c>
      <c r="C619" s="5">
        <v>2010</v>
      </c>
      <c r="D619" s="1">
        <v>7</v>
      </c>
      <c r="E619" s="8" t="s">
        <v>3</v>
      </c>
    </row>
    <row r="620" spans="1:5" x14ac:dyDescent="0.3">
      <c r="A620" s="1">
        <v>1597</v>
      </c>
      <c r="B620" s="3">
        <v>1994</v>
      </c>
      <c r="C620" s="5">
        <v>2016</v>
      </c>
      <c r="D620" s="1">
        <v>9</v>
      </c>
      <c r="E620" s="8" t="s">
        <v>3</v>
      </c>
    </row>
    <row r="621" spans="1:5" x14ac:dyDescent="0.3">
      <c r="A621" s="1">
        <v>1584</v>
      </c>
      <c r="B621" s="3">
        <v>1995</v>
      </c>
      <c r="C621" s="5">
        <v>2009</v>
      </c>
      <c r="D621" s="1">
        <v>5</v>
      </c>
      <c r="E621" s="8" t="s">
        <v>3</v>
      </c>
    </row>
    <row r="622" spans="1:5" x14ac:dyDescent="0.3">
      <c r="A622" s="1">
        <v>1200</v>
      </c>
      <c r="B622" s="3">
        <v>1996</v>
      </c>
      <c r="C622" s="5">
        <v>2009</v>
      </c>
      <c r="D622" s="1">
        <v>4</v>
      </c>
      <c r="E622" s="8" t="s">
        <v>3</v>
      </c>
    </row>
    <row r="623" spans="1:5" x14ac:dyDescent="0.3">
      <c r="A623" s="1">
        <v>1714</v>
      </c>
      <c r="B623" s="3">
        <v>1998</v>
      </c>
      <c r="C623" s="5">
        <v>2008</v>
      </c>
      <c r="D623" s="1">
        <v>3</v>
      </c>
      <c r="E623" s="8" t="s">
        <v>3</v>
      </c>
    </row>
    <row r="624" spans="1:5" x14ac:dyDescent="0.3">
      <c r="A624" s="1">
        <v>1229</v>
      </c>
      <c r="B624" s="3">
        <v>1998</v>
      </c>
      <c r="C624" s="5">
        <v>2014</v>
      </c>
      <c r="D624" s="1">
        <v>6</v>
      </c>
      <c r="E624" s="8" t="s">
        <v>3</v>
      </c>
    </row>
    <row r="625" spans="1:5" x14ac:dyDescent="0.3">
      <c r="A625" s="1">
        <v>1675</v>
      </c>
      <c r="B625" s="3">
        <v>1998</v>
      </c>
      <c r="C625" s="5">
        <v>2016</v>
      </c>
      <c r="D625" s="1">
        <v>14</v>
      </c>
      <c r="E625" s="8" t="s">
        <v>3</v>
      </c>
    </row>
    <row r="626" spans="1:5" x14ac:dyDescent="0.3">
      <c r="A626" s="1">
        <v>1079</v>
      </c>
      <c r="B626" s="3">
        <v>1998</v>
      </c>
      <c r="C626" s="5">
        <v>2017</v>
      </c>
      <c r="D626" s="1">
        <v>10</v>
      </c>
      <c r="E626" s="8" t="s">
        <v>3</v>
      </c>
    </row>
    <row r="627" spans="1:5" x14ac:dyDescent="0.3">
      <c r="A627" s="1">
        <v>1933</v>
      </c>
      <c r="B627" s="3">
        <v>2007</v>
      </c>
      <c r="C627" s="5">
        <v>2007</v>
      </c>
      <c r="D627" s="1">
        <v>1</v>
      </c>
      <c r="E627" s="8" t="s">
        <v>3</v>
      </c>
    </row>
    <row r="628" spans="1:5" x14ac:dyDescent="0.3">
      <c r="A628" s="1">
        <v>1711</v>
      </c>
      <c r="B628" s="3">
        <v>2007</v>
      </c>
      <c r="C628" s="5">
        <v>2009</v>
      </c>
      <c r="D628" s="1">
        <v>3</v>
      </c>
      <c r="E628" s="8" t="s">
        <v>3</v>
      </c>
    </row>
    <row r="629" spans="1:5" x14ac:dyDescent="0.3">
      <c r="A629" s="1">
        <v>1715</v>
      </c>
      <c r="B629" s="3">
        <v>2007</v>
      </c>
      <c r="C629" s="5">
        <v>2012</v>
      </c>
      <c r="D629" s="1">
        <v>4</v>
      </c>
      <c r="E629" s="8" t="s">
        <v>3</v>
      </c>
    </row>
    <row r="630" spans="1:5" x14ac:dyDescent="0.3">
      <c r="A630" s="1">
        <v>1568</v>
      </c>
      <c r="B630" s="3">
        <v>2007</v>
      </c>
      <c r="C630" s="5">
        <v>2016</v>
      </c>
      <c r="D630" s="1">
        <v>10</v>
      </c>
      <c r="E630" s="8" t="s">
        <v>3</v>
      </c>
    </row>
    <row r="631" spans="1:5" x14ac:dyDescent="0.3">
      <c r="A631" s="1">
        <v>1188</v>
      </c>
      <c r="B631" s="3">
        <v>2007</v>
      </c>
      <c r="C631" s="5">
        <v>2017</v>
      </c>
      <c r="D631" s="1">
        <v>11</v>
      </c>
      <c r="E631" s="8" t="s">
        <v>3</v>
      </c>
    </row>
    <row r="632" spans="1:5" x14ac:dyDescent="0.3">
      <c r="A632" s="1">
        <v>1232</v>
      </c>
      <c r="B632" s="3">
        <v>2007</v>
      </c>
      <c r="C632" s="5">
        <v>2017</v>
      </c>
      <c r="D632" s="1">
        <v>5</v>
      </c>
      <c r="E632" s="8" t="s">
        <v>3</v>
      </c>
    </row>
    <row r="633" spans="1:5" x14ac:dyDescent="0.3">
      <c r="A633" s="1">
        <v>1674</v>
      </c>
      <c r="B633" s="3">
        <v>2007</v>
      </c>
      <c r="C633" s="5">
        <v>2017</v>
      </c>
      <c r="D633" s="1">
        <v>10</v>
      </c>
      <c r="E633" s="8" t="s">
        <v>3</v>
      </c>
    </row>
    <row r="634" spans="1:5" x14ac:dyDescent="0.3">
      <c r="A634" s="1">
        <v>1198</v>
      </c>
      <c r="B634" s="3">
        <v>2008</v>
      </c>
      <c r="C634" s="5">
        <v>2008</v>
      </c>
      <c r="D634" s="1">
        <v>1</v>
      </c>
      <c r="E634" s="8" t="s">
        <v>3</v>
      </c>
    </row>
    <row r="635" spans="1:5" x14ac:dyDescent="0.3">
      <c r="A635" s="1">
        <v>1233</v>
      </c>
      <c r="B635" s="3">
        <v>2008</v>
      </c>
      <c r="C635" s="5">
        <v>2008</v>
      </c>
      <c r="D635" s="1">
        <v>3</v>
      </c>
      <c r="E635" s="8" t="s">
        <v>3</v>
      </c>
    </row>
    <row r="636" spans="1:5" x14ac:dyDescent="0.3">
      <c r="A636" s="1">
        <v>1603</v>
      </c>
      <c r="B636" s="3">
        <v>2008</v>
      </c>
      <c r="C636" s="5">
        <v>2008</v>
      </c>
      <c r="D636" s="1">
        <v>1</v>
      </c>
      <c r="E636" s="8" t="s">
        <v>3</v>
      </c>
    </row>
    <row r="637" spans="1:5" x14ac:dyDescent="0.3">
      <c r="A637" s="1">
        <v>1712</v>
      </c>
      <c r="B637" s="3">
        <v>2008</v>
      </c>
      <c r="C637" s="5">
        <v>2011</v>
      </c>
      <c r="D637" s="1">
        <v>3</v>
      </c>
      <c r="E637" s="8" t="s">
        <v>3</v>
      </c>
    </row>
    <row r="638" spans="1:5" x14ac:dyDescent="0.3">
      <c r="A638" s="1">
        <v>1002</v>
      </c>
      <c r="B638" s="3">
        <v>2008</v>
      </c>
      <c r="C638" s="5">
        <v>2013</v>
      </c>
      <c r="D638" s="1">
        <v>2</v>
      </c>
      <c r="E638" s="8" t="s">
        <v>3</v>
      </c>
    </row>
    <row r="639" spans="1:5" x14ac:dyDescent="0.3">
      <c r="A639" s="1">
        <v>1401</v>
      </c>
      <c r="B639" s="3">
        <v>2009</v>
      </c>
      <c r="C639" s="5">
        <v>2009</v>
      </c>
      <c r="D639" s="1">
        <v>1</v>
      </c>
      <c r="E639" s="8" t="s">
        <v>3</v>
      </c>
    </row>
    <row r="640" spans="1:5" x14ac:dyDescent="0.3">
      <c r="A640" s="1">
        <v>1236</v>
      </c>
      <c r="B640" s="3">
        <v>2009</v>
      </c>
      <c r="C640" s="5">
        <v>2011</v>
      </c>
      <c r="D640" s="1">
        <v>3</v>
      </c>
      <c r="E640" s="8" t="s">
        <v>3</v>
      </c>
    </row>
    <row r="641" spans="1:5" x14ac:dyDescent="0.3">
      <c r="A641" s="1">
        <v>1581</v>
      </c>
      <c r="B641" s="3">
        <v>2009</v>
      </c>
      <c r="C641" s="5">
        <v>2015</v>
      </c>
      <c r="D641" s="1">
        <v>14</v>
      </c>
      <c r="E641" s="8" t="s">
        <v>3</v>
      </c>
    </row>
    <row r="642" spans="1:5" x14ac:dyDescent="0.3">
      <c r="A642" s="1">
        <v>1595</v>
      </c>
      <c r="B642" s="3">
        <v>2010</v>
      </c>
      <c r="C642" s="5">
        <v>2010</v>
      </c>
      <c r="D642" s="1">
        <v>1</v>
      </c>
      <c r="E642" s="8" t="s">
        <v>3</v>
      </c>
    </row>
    <row r="643" spans="1:5" x14ac:dyDescent="0.3">
      <c r="A643" s="1">
        <v>1888</v>
      </c>
      <c r="B643" s="3">
        <v>2010</v>
      </c>
      <c r="C643" s="5">
        <v>2010</v>
      </c>
      <c r="D643" s="1">
        <v>1</v>
      </c>
      <c r="E643" s="8" t="s">
        <v>3</v>
      </c>
    </row>
    <row r="644" spans="1:5" x14ac:dyDescent="0.3">
      <c r="A644" s="1">
        <v>1187</v>
      </c>
      <c r="B644" s="3">
        <v>2010</v>
      </c>
      <c r="C644" s="5">
        <v>2014</v>
      </c>
      <c r="D644" s="1">
        <v>6</v>
      </c>
      <c r="E644" s="8" t="s">
        <v>3</v>
      </c>
    </row>
    <row r="645" spans="1:5" x14ac:dyDescent="0.3">
      <c r="A645" s="1">
        <v>1202</v>
      </c>
      <c r="B645" s="3">
        <v>2010</v>
      </c>
      <c r="C645" s="5">
        <v>2014</v>
      </c>
      <c r="D645" s="1">
        <v>5</v>
      </c>
      <c r="E645" s="8" t="s">
        <v>3</v>
      </c>
    </row>
    <row r="646" spans="1:5" x14ac:dyDescent="0.3">
      <c r="A646" s="1">
        <v>1030</v>
      </c>
      <c r="B646" s="3">
        <v>2010</v>
      </c>
      <c r="C646" s="5">
        <v>2017</v>
      </c>
      <c r="D646" s="1">
        <v>8</v>
      </c>
      <c r="E646" s="8" t="s">
        <v>3</v>
      </c>
    </row>
    <row r="647" spans="1:5" x14ac:dyDescent="0.3">
      <c r="A647" s="1">
        <v>1230</v>
      </c>
      <c r="B647" s="3">
        <v>2011</v>
      </c>
      <c r="C647" s="5">
        <v>2011</v>
      </c>
      <c r="D647" s="1">
        <v>1</v>
      </c>
      <c r="E647" s="8" t="s">
        <v>3</v>
      </c>
    </row>
    <row r="648" spans="1:5" x14ac:dyDescent="0.3">
      <c r="A648" s="1">
        <v>1234</v>
      </c>
      <c r="B648" s="3">
        <v>2011</v>
      </c>
      <c r="C648" s="5">
        <v>2011</v>
      </c>
      <c r="D648" s="1">
        <v>1</v>
      </c>
      <c r="E648" s="8" t="s">
        <v>3</v>
      </c>
    </row>
    <row r="649" spans="1:5" x14ac:dyDescent="0.3">
      <c r="A649" s="1">
        <v>1463</v>
      </c>
      <c r="B649" s="3">
        <v>2011</v>
      </c>
      <c r="C649" s="5">
        <v>2011</v>
      </c>
      <c r="D649" s="1">
        <v>1</v>
      </c>
      <c r="E649" s="8" t="s">
        <v>3</v>
      </c>
    </row>
    <row r="650" spans="1:5" x14ac:dyDescent="0.3">
      <c r="A650" s="1">
        <v>1375</v>
      </c>
      <c r="B650" s="3">
        <v>2011</v>
      </c>
      <c r="C650" s="5">
        <v>2013</v>
      </c>
      <c r="D650" s="1">
        <v>2</v>
      </c>
      <c r="E650" s="8" t="s">
        <v>3</v>
      </c>
    </row>
    <row r="651" spans="1:5" x14ac:dyDescent="0.3">
      <c r="A651" s="1">
        <v>1594</v>
      </c>
      <c r="B651" s="3">
        <v>2011</v>
      </c>
      <c r="C651" s="5">
        <v>2013</v>
      </c>
      <c r="D651" s="1">
        <v>3</v>
      </c>
      <c r="E651" s="8" t="s">
        <v>3</v>
      </c>
    </row>
    <row r="652" spans="1:5" x14ac:dyDescent="0.3">
      <c r="A652" s="1">
        <v>1235</v>
      </c>
      <c r="B652" s="3">
        <v>2011</v>
      </c>
      <c r="C652" s="5">
        <v>2017</v>
      </c>
      <c r="D652" s="1">
        <v>2</v>
      </c>
      <c r="E652" s="8" t="s">
        <v>3</v>
      </c>
    </row>
    <row r="653" spans="1:5" x14ac:dyDescent="0.3">
      <c r="A653" s="1">
        <v>1583</v>
      </c>
      <c r="B653" s="3">
        <v>2011</v>
      </c>
      <c r="C653" s="5">
        <v>2017</v>
      </c>
      <c r="D653" s="1">
        <v>6</v>
      </c>
      <c r="E653" s="8" t="s">
        <v>3</v>
      </c>
    </row>
    <row r="654" spans="1:5" x14ac:dyDescent="0.3">
      <c r="A654" s="1">
        <v>1647</v>
      </c>
      <c r="B654" s="3">
        <v>2011</v>
      </c>
      <c r="C654" s="5">
        <v>2017</v>
      </c>
      <c r="D654" s="1">
        <v>8</v>
      </c>
      <c r="E654" s="8" t="s">
        <v>3</v>
      </c>
    </row>
    <row r="655" spans="1:5" x14ac:dyDescent="0.3">
      <c r="A655" s="1">
        <v>1678</v>
      </c>
      <c r="B655" s="3">
        <v>2012</v>
      </c>
      <c r="C655" s="5">
        <v>2012</v>
      </c>
      <c r="D655" s="1">
        <v>1</v>
      </c>
      <c r="E655" s="8" t="s">
        <v>3</v>
      </c>
    </row>
    <row r="656" spans="1:5" x14ac:dyDescent="0.3">
      <c r="A656" s="1">
        <v>1608</v>
      </c>
      <c r="B656" s="3">
        <v>2012</v>
      </c>
      <c r="C656" s="5">
        <v>2016</v>
      </c>
      <c r="D656" s="1">
        <v>3</v>
      </c>
      <c r="E656" s="8" t="s">
        <v>3</v>
      </c>
    </row>
    <row r="657" spans="1:5" x14ac:dyDescent="0.3">
      <c r="A657" s="1">
        <v>1599</v>
      </c>
      <c r="B657" s="3">
        <v>2013</v>
      </c>
      <c r="C657" s="5">
        <v>2013</v>
      </c>
      <c r="D657" s="1">
        <v>1</v>
      </c>
      <c r="E657" s="8" t="s">
        <v>3</v>
      </c>
    </row>
    <row r="658" spans="1:5" x14ac:dyDescent="0.3">
      <c r="A658" s="1">
        <v>1461</v>
      </c>
      <c r="B658" s="3">
        <v>2014</v>
      </c>
      <c r="C658" s="5">
        <v>2017</v>
      </c>
      <c r="D658" s="1">
        <v>2</v>
      </c>
      <c r="E658" s="8" t="s">
        <v>3</v>
      </c>
    </row>
    <row r="659" spans="1:5" x14ac:dyDescent="0.3">
      <c r="A659" s="1">
        <v>1787</v>
      </c>
      <c r="B659" s="3">
        <v>2015</v>
      </c>
      <c r="C659" s="5">
        <v>2015</v>
      </c>
      <c r="D659" s="1">
        <v>1</v>
      </c>
      <c r="E659" s="8" t="s">
        <v>3</v>
      </c>
    </row>
    <row r="660" spans="1:5" x14ac:dyDescent="0.3">
      <c r="A660" s="1">
        <v>1840</v>
      </c>
      <c r="B660" s="3">
        <v>2015</v>
      </c>
      <c r="C660" s="5">
        <v>2015</v>
      </c>
      <c r="D660" s="1">
        <v>1</v>
      </c>
      <c r="E660" s="8" t="s">
        <v>3</v>
      </c>
    </row>
    <row r="661" spans="1:5" x14ac:dyDescent="0.3">
      <c r="A661" s="1">
        <v>1808</v>
      </c>
      <c r="B661" s="3">
        <v>2015</v>
      </c>
      <c r="C661" s="5">
        <v>2016</v>
      </c>
      <c r="D661" s="1">
        <v>2</v>
      </c>
      <c r="E661" s="8" t="s">
        <v>3</v>
      </c>
    </row>
    <row r="662" spans="1:5" x14ac:dyDescent="0.3">
      <c r="A662" s="1">
        <v>1995</v>
      </c>
      <c r="B662" s="3">
        <v>2016</v>
      </c>
      <c r="C662" s="5">
        <v>2016</v>
      </c>
      <c r="D662" s="1">
        <v>1</v>
      </c>
      <c r="E662" s="8" t="s">
        <v>3</v>
      </c>
    </row>
    <row r="663" spans="1:5" x14ac:dyDescent="0.3">
      <c r="A663" s="1">
        <v>2035</v>
      </c>
      <c r="B663" s="3">
        <v>2016</v>
      </c>
      <c r="C663" s="5">
        <v>2016</v>
      </c>
      <c r="D663" s="1">
        <v>1</v>
      </c>
      <c r="E663" s="8" t="s">
        <v>3</v>
      </c>
    </row>
    <row r="664" spans="1:5" x14ac:dyDescent="0.3">
      <c r="A664" s="1">
        <v>2165</v>
      </c>
      <c r="B664" s="3">
        <v>2016</v>
      </c>
      <c r="C664" s="5">
        <v>2016</v>
      </c>
      <c r="D664" s="1">
        <v>1</v>
      </c>
      <c r="E664" s="8" t="s">
        <v>3</v>
      </c>
    </row>
    <row r="665" spans="1:5" x14ac:dyDescent="0.3">
      <c r="A665" s="1">
        <v>2027</v>
      </c>
      <c r="B665" s="3">
        <v>2016</v>
      </c>
      <c r="C665" s="5">
        <v>2017</v>
      </c>
      <c r="D665" s="1">
        <v>2</v>
      </c>
      <c r="E665" s="8" t="s">
        <v>3</v>
      </c>
    </row>
    <row r="666" spans="1:5" x14ac:dyDescent="0.3">
      <c r="A666" s="1">
        <v>2039</v>
      </c>
      <c r="B666" s="3">
        <v>2016</v>
      </c>
      <c r="C666" s="5">
        <v>2017</v>
      </c>
      <c r="D666" s="1">
        <v>2</v>
      </c>
      <c r="E666" s="8" t="s">
        <v>3</v>
      </c>
    </row>
    <row r="667" spans="1:5" x14ac:dyDescent="0.3">
      <c r="A667" s="1">
        <v>2048</v>
      </c>
      <c r="B667" s="3">
        <v>2016</v>
      </c>
      <c r="C667" s="5">
        <v>2017</v>
      </c>
      <c r="D667" s="1">
        <v>2</v>
      </c>
      <c r="E667" s="8" t="s">
        <v>3</v>
      </c>
    </row>
    <row r="668" spans="1:5" x14ac:dyDescent="0.3">
      <c r="A668" s="1">
        <v>2230</v>
      </c>
      <c r="B668" s="3">
        <v>2017</v>
      </c>
      <c r="C668" s="5">
        <v>2017</v>
      </c>
      <c r="D668" s="1">
        <v>1</v>
      </c>
      <c r="E668" s="8" t="s">
        <v>3</v>
      </c>
    </row>
    <row r="669" spans="1:5" x14ac:dyDescent="0.3">
      <c r="A669" s="1">
        <v>2265</v>
      </c>
      <c r="B669" s="3">
        <v>2017</v>
      </c>
      <c r="C669" s="5">
        <v>2017</v>
      </c>
      <c r="D669" s="1">
        <v>1</v>
      </c>
      <c r="E669" s="8" t="s">
        <v>3</v>
      </c>
    </row>
    <row r="670" spans="1:5" x14ac:dyDescent="0.3">
      <c r="A670" s="1">
        <v>1585</v>
      </c>
      <c r="B670" s="3">
        <v>1995</v>
      </c>
      <c r="C670" s="5">
        <v>2008</v>
      </c>
      <c r="D670" s="1">
        <v>3</v>
      </c>
      <c r="E670" s="8" t="s">
        <v>3</v>
      </c>
    </row>
    <row r="671" spans="1:5" x14ac:dyDescent="0.3">
      <c r="A671" s="1">
        <v>1427</v>
      </c>
      <c r="B671" s="3">
        <v>2008</v>
      </c>
      <c r="C671" s="5">
        <v>2009</v>
      </c>
      <c r="D671" s="1">
        <v>2</v>
      </c>
      <c r="E671" s="8" t="s">
        <v>3</v>
      </c>
    </row>
    <row r="672" spans="1:5" x14ac:dyDescent="0.3">
      <c r="A672" s="1">
        <v>1593</v>
      </c>
      <c r="B672" s="3">
        <v>2008</v>
      </c>
      <c r="C672" s="5">
        <v>2010</v>
      </c>
      <c r="D672" s="1">
        <v>2</v>
      </c>
      <c r="E672" s="8" t="s">
        <v>3</v>
      </c>
    </row>
    <row r="673" spans="1:5" x14ac:dyDescent="0.3">
      <c r="A673" s="1">
        <v>2208</v>
      </c>
      <c r="B673" s="3">
        <v>1977</v>
      </c>
      <c r="C673" s="5">
        <v>1984</v>
      </c>
      <c r="D673" s="1">
        <v>3</v>
      </c>
      <c r="E673" s="8" t="s">
        <v>2</v>
      </c>
    </row>
    <row r="674" spans="1:5" x14ac:dyDescent="0.3">
      <c r="A674" s="1">
        <v>1088</v>
      </c>
      <c r="B674" s="3">
        <v>1990</v>
      </c>
      <c r="C674" s="5">
        <v>2013</v>
      </c>
      <c r="D674" s="1">
        <v>12</v>
      </c>
      <c r="E674" s="8" t="s">
        <v>2</v>
      </c>
    </row>
    <row r="675" spans="1:5" x14ac:dyDescent="0.3">
      <c r="A675" s="1">
        <v>1387</v>
      </c>
      <c r="B675" s="3">
        <v>1990</v>
      </c>
      <c r="C675" s="5">
        <v>2014</v>
      </c>
      <c r="D675" s="1">
        <v>5</v>
      </c>
      <c r="E675" s="8" t="s">
        <v>2</v>
      </c>
    </row>
    <row r="676" spans="1:5" x14ac:dyDescent="0.3">
      <c r="A676" s="1">
        <v>1479</v>
      </c>
      <c r="B676" s="3">
        <v>1990</v>
      </c>
      <c r="C676" s="5">
        <v>2014</v>
      </c>
      <c r="D676" s="1">
        <v>11</v>
      </c>
      <c r="E676" s="8" t="s">
        <v>2</v>
      </c>
    </row>
    <row r="677" spans="1:5" x14ac:dyDescent="0.3">
      <c r="A677" s="1">
        <v>1859</v>
      </c>
      <c r="B677" s="3">
        <v>1992</v>
      </c>
      <c r="C677" s="5">
        <v>2007</v>
      </c>
      <c r="D677" s="1">
        <v>7</v>
      </c>
      <c r="E677" s="8" t="s">
        <v>2</v>
      </c>
    </row>
    <row r="678" spans="1:5" x14ac:dyDescent="0.3">
      <c r="A678" s="1">
        <v>1753</v>
      </c>
      <c r="B678" s="3">
        <v>1992</v>
      </c>
      <c r="C678" s="5">
        <v>2009</v>
      </c>
      <c r="D678" s="1">
        <v>5</v>
      </c>
      <c r="E678" s="8" t="s">
        <v>2</v>
      </c>
    </row>
    <row r="679" spans="1:5" x14ac:dyDescent="0.3">
      <c r="A679" s="1">
        <v>1086</v>
      </c>
      <c r="B679" s="3">
        <v>1993</v>
      </c>
      <c r="C679" s="5">
        <v>2014</v>
      </c>
      <c r="D679" s="1">
        <v>8</v>
      </c>
      <c r="E679" s="8" t="s">
        <v>2</v>
      </c>
    </row>
    <row r="680" spans="1:5" x14ac:dyDescent="0.3">
      <c r="A680" s="1">
        <v>1257</v>
      </c>
      <c r="B680" s="3">
        <v>1996</v>
      </c>
      <c r="C680" s="5">
        <v>2015</v>
      </c>
      <c r="D680" s="1">
        <v>4</v>
      </c>
      <c r="E680" s="8" t="s">
        <v>2</v>
      </c>
    </row>
    <row r="681" spans="1:5" x14ac:dyDescent="0.3">
      <c r="A681" s="1">
        <v>1994</v>
      </c>
      <c r="B681" s="3">
        <v>1996</v>
      </c>
      <c r="C681" s="5">
        <v>2016</v>
      </c>
      <c r="D681" s="1">
        <v>2</v>
      </c>
      <c r="E681" s="8" t="s">
        <v>2</v>
      </c>
    </row>
    <row r="682" spans="1:5" x14ac:dyDescent="0.3">
      <c r="A682" s="1">
        <v>1089</v>
      </c>
      <c r="B682" s="3">
        <v>1998</v>
      </c>
      <c r="C682" s="5">
        <v>2016</v>
      </c>
      <c r="D682" s="1">
        <v>10</v>
      </c>
      <c r="E682" s="8" t="s">
        <v>2</v>
      </c>
    </row>
    <row r="683" spans="1:5" x14ac:dyDescent="0.3">
      <c r="A683" s="1">
        <v>1333</v>
      </c>
      <c r="B683" s="3">
        <v>1998</v>
      </c>
      <c r="C683" s="5">
        <v>2017</v>
      </c>
      <c r="D683" s="1">
        <v>7</v>
      </c>
      <c r="E683" s="8" t="s">
        <v>2</v>
      </c>
    </row>
    <row r="684" spans="1:5" x14ac:dyDescent="0.3">
      <c r="A684" s="1">
        <v>2096</v>
      </c>
      <c r="B684" s="3">
        <v>1998</v>
      </c>
      <c r="C684" s="5">
        <v>2006</v>
      </c>
      <c r="D684" s="1">
        <v>5</v>
      </c>
      <c r="E684" s="8" t="s">
        <v>2</v>
      </c>
    </row>
    <row r="685" spans="1:5" x14ac:dyDescent="0.3">
      <c r="A685" s="1">
        <v>2206</v>
      </c>
      <c r="B685" s="3">
        <v>1999</v>
      </c>
      <c r="C685" s="5">
        <v>2000</v>
      </c>
      <c r="D685" s="1">
        <v>2</v>
      </c>
      <c r="E685" s="8" t="s">
        <v>2</v>
      </c>
    </row>
    <row r="686" spans="1:5" x14ac:dyDescent="0.3">
      <c r="A686" s="1">
        <v>2183</v>
      </c>
      <c r="B686" s="3">
        <v>2004</v>
      </c>
      <c r="C686" s="5">
        <v>2006</v>
      </c>
      <c r="D686" s="1">
        <v>2</v>
      </c>
      <c r="E686" s="8" t="s">
        <v>2</v>
      </c>
    </row>
    <row r="687" spans="1:5" x14ac:dyDescent="0.3">
      <c r="A687" s="1">
        <v>1872</v>
      </c>
      <c r="B687" s="3">
        <v>2007</v>
      </c>
      <c r="C687" s="5">
        <v>2007</v>
      </c>
      <c r="D687" s="1">
        <v>1</v>
      </c>
      <c r="E687" s="8" t="s">
        <v>2</v>
      </c>
    </row>
    <row r="688" spans="1:5" x14ac:dyDescent="0.3">
      <c r="A688" s="1">
        <v>1913</v>
      </c>
      <c r="B688" s="3">
        <v>2007</v>
      </c>
      <c r="C688" s="5">
        <v>2007</v>
      </c>
      <c r="D688" s="1">
        <v>1</v>
      </c>
      <c r="E688" s="8" t="s">
        <v>2</v>
      </c>
    </row>
    <row r="689" spans="1:5" x14ac:dyDescent="0.3">
      <c r="A689" s="1">
        <v>1955</v>
      </c>
      <c r="B689" s="3">
        <v>2007</v>
      </c>
      <c r="C689" s="5">
        <v>2007</v>
      </c>
      <c r="D689" s="1">
        <v>1</v>
      </c>
      <c r="E689" s="8" t="s">
        <v>2</v>
      </c>
    </row>
    <row r="690" spans="1:5" x14ac:dyDescent="0.3">
      <c r="A690" s="1">
        <v>1001</v>
      </c>
      <c r="B690" s="3">
        <v>2007</v>
      </c>
      <c r="C690" s="5">
        <v>2009</v>
      </c>
      <c r="D690" s="1">
        <v>3</v>
      </c>
      <c r="E690" s="8" t="s">
        <v>2</v>
      </c>
    </row>
    <row r="691" spans="1:5" x14ac:dyDescent="0.3">
      <c r="A691" s="1">
        <v>1444</v>
      </c>
      <c r="B691" s="3">
        <v>2007</v>
      </c>
      <c r="C691" s="5">
        <v>2014</v>
      </c>
      <c r="D691" s="1">
        <v>3</v>
      </c>
      <c r="E691" s="8" t="s">
        <v>2</v>
      </c>
    </row>
    <row r="692" spans="1:5" x14ac:dyDescent="0.3">
      <c r="A692" s="1">
        <v>1446</v>
      </c>
      <c r="B692" s="3">
        <v>2007</v>
      </c>
      <c r="C692" s="5">
        <v>2016</v>
      </c>
      <c r="D692" s="1">
        <v>14</v>
      </c>
      <c r="E692" s="8" t="s">
        <v>2</v>
      </c>
    </row>
    <row r="693" spans="1:5" x14ac:dyDescent="0.3">
      <c r="A693" s="1">
        <v>1716</v>
      </c>
      <c r="B693" s="3">
        <v>2007</v>
      </c>
      <c r="C693" s="5">
        <v>2016</v>
      </c>
      <c r="D693" s="1">
        <v>7</v>
      </c>
      <c r="E693" s="8" t="s">
        <v>2</v>
      </c>
    </row>
    <row r="694" spans="1:5" x14ac:dyDescent="0.3">
      <c r="A694" s="1">
        <v>1752</v>
      </c>
      <c r="B694" s="3">
        <v>2007</v>
      </c>
      <c r="C694" s="5">
        <v>2017</v>
      </c>
      <c r="D694" s="1">
        <v>10</v>
      </c>
      <c r="E694" s="8" t="s">
        <v>2</v>
      </c>
    </row>
    <row r="695" spans="1:5" x14ac:dyDescent="0.3">
      <c r="A695" s="1">
        <v>1329</v>
      </c>
      <c r="B695" s="3">
        <v>2008</v>
      </c>
      <c r="C695" s="5">
        <v>2008</v>
      </c>
      <c r="D695" s="1">
        <v>2</v>
      </c>
      <c r="E695" s="8" t="s">
        <v>2</v>
      </c>
    </row>
    <row r="696" spans="1:5" x14ac:dyDescent="0.3">
      <c r="A696" s="1">
        <v>1567</v>
      </c>
      <c r="B696" s="3">
        <v>2008</v>
      </c>
      <c r="C696" s="5">
        <v>2011</v>
      </c>
      <c r="D696" s="1">
        <v>4</v>
      </c>
      <c r="E696" s="8" t="s">
        <v>2</v>
      </c>
    </row>
    <row r="697" spans="1:5" x14ac:dyDescent="0.3">
      <c r="A697" s="1">
        <v>1388</v>
      </c>
      <c r="B697" s="3">
        <v>2014</v>
      </c>
      <c r="C697" s="5">
        <v>2014</v>
      </c>
      <c r="D697" s="1">
        <v>1</v>
      </c>
      <c r="E697" s="8" t="s">
        <v>2</v>
      </c>
    </row>
    <row r="698" spans="1:5" x14ac:dyDescent="0.3">
      <c r="A698" s="1">
        <v>1452</v>
      </c>
      <c r="B698" s="3">
        <v>2014</v>
      </c>
      <c r="C698" s="5">
        <v>2016</v>
      </c>
      <c r="D698" s="1">
        <v>2</v>
      </c>
      <c r="E698" s="8" t="s">
        <v>2</v>
      </c>
    </row>
    <row r="699" spans="1:5" x14ac:dyDescent="0.3">
      <c r="A699" s="1">
        <v>1754</v>
      </c>
      <c r="B699" s="3">
        <v>2014</v>
      </c>
      <c r="C699" s="5">
        <v>2016</v>
      </c>
      <c r="D699" s="1">
        <v>3</v>
      </c>
      <c r="E699" s="8" t="s">
        <v>2</v>
      </c>
    </row>
    <row r="700" spans="1:5" x14ac:dyDescent="0.3">
      <c r="A700" s="1">
        <v>1943</v>
      </c>
      <c r="B700" s="3">
        <v>2015</v>
      </c>
      <c r="C700" s="5">
        <v>2017</v>
      </c>
      <c r="D700" s="1">
        <v>3</v>
      </c>
      <c r="E700" s="8" t="s">
        <v>2</v>
      </c>
    </row>
    <row r="701" spans="1:5" x14ac:dyDescent="0.3">
      <c r="A701" s="1">
        <v>1986</v>
      </c>
      <c r="B701" s="3">
        <v>2016</v>
      </c>
      <c r="C701" s="5">
        <v>2016</v>
      </c>
      <c r="D701" s="1">
        <v>1</v>
      </c>
      <c r="E701" s="8" t="s">
        <v>2</v>
      </c>
    </row>
    <row r="702" spans="1:5" x14ac:dyDescent="0.3">
      <c r="A702" s="1">
        <v>1987</v>
      </c>
      <c r="B702" s="3">
        <v>2016</v>
      </c>
      <c r="C702" s="5">
        <v>2016</v>
      </c>
      <c r="D702" s="1">
        <v>1</v>
      </c>
      <c r="E702" s="8" t="s">
        <v>2</v>
      </c>
    </row>
    <row r="703" spans="1:5" x14ac:dyDescent="0.3">
      <c r="A703" s="1">
        <v>1990</v>
      </c>
      <c r="B703" s="3">
        <v>2016</v>
      </c>
      <c r="C703" s="5">
        <v>2016</v>
      </c>
      <c r="D703" s="1">
        <v>1</v>
      </c>
      <c r="E703" s="8" t="s">
        <v>2</v>
      </c>
    </row>
    <row r="704" spans="1:5" x14ac:dyDescent="0.3">
      <c r="A704" s="1">
        <v>1996</v>
      </c>
      <c r="B704" s="3">
        <v>2016</v>
      </c>
      <c r="C704" s="5">
        <v>2016</v>
      </c>
      <c r="D704" s="1">
        <v>1</v>
      </c>
      <c r="E704" s="8" t="s">
        <v>2</v>
      </c>
    </row>
    <row r="705" spans="1:5" x14ac:dyDescent="0.3">
      <c r="A705" s="1">
        <v>2017</v>
      </c>
      <c r="B705" s="3">
        <v>2016</v>
      </c>
      <c r="C705" s="5">
        <v>2016</v>
      </c>
      <c r="D705" s="1">
        <v>1</v>
      </c>
      <c r="E705" s="8" t="s">
        <v>2</v>
      </c>
    </row>
    <row r="706" spans="1:5" x14ac:dyDescent="0.3">
      <c r="A706" s="1">
        <v>2024</v>
      </c>
      <c r="B706" s="3">
        <v>2016</v>
      </c>
      <c r="C706" s="5">
        <v>2016</v>
      </c>
      <c r="D706" s="1">
        <v>1</v>
      </c>
      <c r="E706" s="8" t="s">
        <v>2</v>
      </c>
    </row>
    <row r="707" spans="1:5" x14ac:dyDescent="0.3">
      <c r="A707" s="1">
        <v>2056</v>
      </c>
      <c r="B707" s="3">
        <v>2016</v>
      </c>
      <c r="C707" s="5">
        <v>2016</v>
      </c>
      <c r="D707" s="1">
        <v>1</v>
      </c>
      <c r="E707" s="8" t="s">
        <v>2</v>
      </c>
    </row>
    <row r="708" spans="1:5" x14ac:dyDescent="0.3">
      <c r="A708" s="1">
        <v>1303</v>
      </c>
      <c r="B708" s="3">
        <v>1992</v>
      </c>
      <c r="C708" s="5">
        <v>2014</v>
      </c>
      <c r="D708" s="1">
        <v>10</v>
      </c>
      <c r="E708" s="8" t="s">
        <v>62</v>
      </c>
    </row>
    <row r="709" spans="1:5" x14ac:dyDescent="0.3">
      <c r="A709" s="1">
        <v>1248</v>
      </c>
      <c r="B709" s="3">
        <v>2008</v>
      </c>
      <c r="C709" s="5">
        <v>2010</v>
      </c>
      <c r="D709" s="1">
        <v>2</v>
      </c>
      <c r="E709" s="8" t="s">
        <v>62</v>
      </c>
    </row>
    <row r="710" spans="1:5" x14ac:dyDescent="0.3">
      <c r="A710" s="1">
        <v>1184</v>
      </c>
      <c r="B710" s="3">
        <v>2010</v>
      </c>
      <c r="C710" s="5">
        <v>2013</v>
      </c>
      <c r="D710" s="1">
        <v>2</v>
      </c>
      <c r="E710" s="8" t="s">
        <v>62</v>
      </c>
    </row>
    <row r="711" spans="1:5" x14ac:dyDescent="0.3">
      <c r="A711" s="1">
        <v>1579</v>
      </c>
      <c r="B711" s="3">
        <v>2011</v>
      </c>
      <c r="C711" s="5">
        <v>2011</v>
      </c>
      <c r="D711" s="1">
        <v>1</v>
      </c>
      <c r="E711" s="8" t="s">
        <v>62</v>
      </c>
    </row>
    <row r="712" spans="1:5" x14ac:dyDescent="0.3">
      <c r="A712" s="1">
        <v>1928</v>
      </c>
      <c r="B712" s="3">
        <v>2016</v>
      </c>
      <c r="C712" s="5">
        <v>2016</v>
      </c>
      <c r="D712" s="1">
        <v>1</v>
      </c>
      <c r="E712" s="8" t="s">
        <v>62</v>
      </c>
    </row>
    <row r="713" spans="1:5" x14ac:dyDescent="0.3">
      <c r="A713" s="1">
        <v>2175</v>
      </c>
      <c r="B713" s="3">
        <v>2017</v>
      </c>
      <c r="C713" s="5">
        <v>2017</v>
      </c>
      <c r="D713" s="1">
        <v>1</v>
      </c>
      <c r="E713" s="8" t="s">
        <v>62</v>
      </c>
    </row>
    <row r="714" spans="1:5" x14ac:dyDescent="0.3">
      <c r="A714" s="1">
        <v>1037</v>
      </c>
      <c r="B714" s="3">
        <v>2009</v>
      </c>
      <c r="C714" s="5">
        <v>2009</v>
      </c>
      <c r="D714" s="1">
        <v>1</v>
      </c>
      <c r="E714" s="8" t="s">
        <v>26</v>
      </c>
    </row>
    <row r="715" spans="1:5" x14ac:dyDescent="0.3">
      <c r="A715" s="1">
        <v>1026</v>
      </c>
      <c r="B715" s="3">
        <v>1990</v>
      </c>
      <c r="C715" s="5">
        <v>2016</v>
      </c>
      <c r="D715" s="1">
        <v>13</v>
      </c>
      <c r="E715" s="8" t="s">
        <v>14</v>
      </c>
    </row>
    <row r="716" spans="1:5" x14ac:dyDescent="0.3">
      <c r="A716" s="1">
        <v>1293</v>
      </c>
      <c r="B716" s="3">
        <v>1994</v>
      </c>
      <c r="C716" s="5">
        <v>2011</v>
      </c>
      <c r="D716" s="1">
        <v>4</v>
      </c>
      <c r="E716" s="8" t="s">
        <v>14</v>
      </c>
    </row>
    <row r="717" spans="1:5" x14ac:dyDescent="0.3">
      <c r="A717" s="1">
        <v>1926</v>
      </c>
      <c r="B717" s="3">
        <v>1994</v>
      </c>
      <c r="C717" s="5">
        <v>2017</v>
      </c>
      <c r="D717" s="1">
        <v>8</v>
      </c>
      <c r="E717" s="8" t="s">
        <v>14</v>
      </c>
    </row>
    <row r="718" spans="1:5" x14ac:dyDescent="0.3">
      <c r="A718" s="1">
        <v>1071</v>
      </c>
      <c r="B718" s="3">
        <v>1995</v>
      </c>
      <c r="C718" s="5">
        <v>2014</v>
      </c>
      <c r="D718" s="1">
        <v>10</v>
      </c>
      <c r="E718" s="8" t="s">
        <v>14</v>
      </c>
    </row>
    <row r="719" spans="1:5" x14ac:dyDescent="0.3">
      <c r="A719" s="1">
        <v>2160</v>
      </c>
      <c r="B719" s="3">
        <v>2004</v>
      </c>
      <c r="C719" s="5">
        <v>2005</v>
      </c>
      <c r="D719" s="1">
        <v>2</v>
      </c>
      <c r="E719" s="8" t="s">
        <v>14</v>
      </c>
    </row>
    <row r="720" spans="1:5" x14ac:dyDescent="0.3">
      <c r="A720" s="1">
        <v>1154</v>
      </c>
      <c r="B720" s="3">
        <v>2006</v>
      </c>
      <c r="C720" s="5">
        <v>2017</v>
      </c>
      <c r="D720" s="1">
        <v>14</v>
      </c>
      <c r="E720" s="8" t="s">
        <v>14</v>
      </c>
    </row>
    <row r="721" spans="1:5" x14ac:dyDescent="0.3">
      <c r="A721" s="1">
        <v>1017</v>
      </c>
      <c r="B721" s="3">
        <v>2007</v>
      </c>
      <c r="C721" s="5">
        <v>2011</v>
      </c>
      <c r="D721" s="1">
        <v>3</v>
      </c>
      <c r="E721" s="8" t="s">
        <v>14</v>
      </c>
    </row>
    <row r="722" spans="1:5" x14ac:dyDescent="0.3">
      <c r="A722" s="1">
        <v>1588</v>
      </c>
      <c r="B722" s="3">
        <v>2007</v>
      </c>
      <c r="C722" s="5">
        <v>2011</v>
      </c>
      <c r="D722" s="1">
        <v>4</v>
      </c>
      <c r="E722" s="8" t="s">
        <v>14</v>
      </c>
    </row>
    <row r="723" spans="1:5" x14ac:dyDescent="0.3">
      <c r="A723" s="1">
        <v>1757</v>
      </c>
      <c r="B723" s="3">
        <v>2007</v>
      </c>
      <c r="C723" s="5">
        <v>2011</v>
      </c>
      <c r="D723" s="1">
        <v>3</v>
      </c>
      <c r="E723" s="8" t="s">
        <v>14</v>
      </c>
    </row>
    <row r="724" spans="1:5" x14ac:dyDescent="0.3">
      <c r="A724" s="1">
        <v>1269</v>
      </c>
      <c r="B724" s="3">
        <v>2007</v>
      </c>
      <c r="C724" s="5">
        <v>2017</v>
      </c>
      <c r="D724" s="1">
        <v>10</v>
      </c>
      <c r="E724" s="8" t="s">
        <v>14</v>
      </c>
    </row>
    <row r="725" spans="1:5" x14ac:dyDescent="0.3">
      <c r="A725" s="1">
        <v>1598</v>
      </c>
      <c r="B725" s="3">
        <v>2008</v>
      </c>
      <c r="C725" s="5">
        <v>2017</v>
      </c>
      <c r="D725" s="1">
        <v>6</v>
      </c>
      <c r="E725" s="8" t="s">
        <v>14</v>
      </c>
    </row>
    <row r="726" spans="1:5" x14ac:dyDescent="0.3">
      <c r="A726" s="1">
        <v>1677</v>
      </c>
      <c r="B726" s="3">
        <v>2008</v>
      </c>
      <c r="C726" s="5">
        <v>2017</v>
      </c>
      <c r="D726" s="1">
        <v>6</v>
      </c>
      <c r="E726" s="8" t="s">
        <v>14</v>
      </c>
    </row>
    <row r="727" spans="1:5" x14ac:dyDescent="0.3">
      <c r="A727" s="1">
        <v>1402</v>
      </c>
      <c r="B727" s="3">
        <v>2012</v>
      </c>
      <c r="C727" s="5">
        <v>2012</v>
      </c>
      <c r="D727" s="1">
        <v>1</v>
      </c>
      <c r="E727" s="8" t="s">
        <v>14</v>
      </c>
    </row>
    <row r="728" spans="1:5" x14ac:dyDescent="0.3">
      <c r="A728" s="1">
        <v>2072</v>
      </c>
      <c r="B728" s="3">
        <v>2017</v>
      </c>
      <c r="C728" s="5">
        <v>2017</v>
      </c>
      <c r="D728" s="1">
        <v>2</v>
      </c>
      <c r="E728" s="8" t="s">
        <v>14</v>
      </c>
    </row>
    <row r="729" spans="1:5" x14ac:dyDescent="0.3">
      <c r="A729" s="1">
        <v>2158</v>
      </c>
      <c r="B729" s="3">
        <v>2017</v>
      </c>
      <c r="C729" s="5">
        <v>2017</v>
      </c>
      <c r="D729" s="1">
        <v>1</v>
      </c>
      <c r="E729" s="8" t="s">
        <v>14</v>
      </c>
    </row>
    <row r="730" spans="1:5" x14ac:dyDescent="0.3">
      <c r="A730" s="1">
        <v>2244</v>
      </c>
      <c r="B730" s="3">
        <v>2017</v>
      </c>
      <c r="C730" s="5">
        <v>2017</v>
      </c>
      <c r="D730" s="1">
        <v>1</v>
      </c>
      <c r="E730" s="8" t="s">
        <v>14</v>
      </c>
    </row>
    <row r="731" spans="1:5" x14ac:dyDescent="0.3">
      <c r="A731" s="1">
        <v>1487</v>
      </c>
      <c r="B731" s="3">
        <v>2011</v>
      </c>
      <c r="C731" s="5">
        <v>2011</v>
      </c>
      <c r="D731" s="1">
        <v>1</v>
      </c>
      <c r="E731" s="8" t="s">
        <v>95</v>
      </c>
    </row>
    <row r="732" spans="1:5" x14ac:dyDescent="0.3">
      <c r="A732" s="1">
        <v>1690</v>
      </c>
      <c r="B732" s="3">
        <v>2009</v>
      </c>
      <c r="C732" s="5">
        <v>2009</v>
      </c>
      <c r="D732" s="1">
        <v>1</v>
      </c>
      <c r="E732" s="8" t="s">
        <v>96</v>
      </c>
    </row>
    <row r="733" spans="1:5" x14ac:dyDescent="0.3">
      <c r="A733" s="1">
        <v>1489</v>
      </c>
      <c r="B733" s="3">
        <v>2012</v>
      </c>
      <c r="C733" s="5">
        <v>2017</v>
      </c>
      <c r="D733" s="1">
        <v>5</v>
      </c>
      <c r="E733" s="8" t="s">
        <v>96</v>
      </c>
    </row>
    <row r="734" spans="1:5" x14ac:dyDescent="0.3">
      <c r="A734" s="1">
        <v>1789</v>
      </c>
      <c r="B734" s="3">
        <v>2015</v>
      </c>
      <c r="C734" s="5">
        <v>2015</v>
      </c>
      <c r="D734" s="1">
        <v>1</v>
      </c>
      <c r="E734" s="8" t="s">
        <v>96</v>
      </c>
    </row>
    <row r="735" spans="1:5" x14ac:dyDescent="0.3">
      <c r="A735" s="1">
        <v>2218</v>
      </c>
      <c r="B735" s="3">
        <v>2015</v>
      </c>
      <c r="C735" s="5">
        <v>2015</v>
      </c>
      <c r="D735" s="1">
        <v>1</v>
      </c>
      <c r="E735" s="8" t="s">
        <v>96</v>
      </c>
    </row>
    <row r="736" spans="1:5" x14ac:dyDescent="0.3">
      <c r="A736" s="1">
        <v>2241</v>
      </c>
      <c r="B736" s="3">
        <v>1986</v>
      </c>
      <c r="C736" s="5">
        <v>1986</v>
      </c>
      <c r="D736" s="1">
        <v>1</v>
      </c>
      <c r="E736" s="8" t="s">
        <v>28</v>
      </c>
    </row>
    <row r="737" spans="1:5" x14ac:dyDescent="0.3">
      <c r="A737" s="1">
        <v>1360</v>
      </c>
      <c r="B737" s="3">
        <v>1990</v>
      </c>
      <c r="C737" s="5">
        <v>2008</v>
      </c>
      <c r="D737" s="1">
        <v>10</v>
      </c>
      <c r="E737" s="8" t="s">
        <v>28</v>
      </c>
    </row>
    <row r="738" spans="1:5" x14ac:dyDescent="0.3">
      <c r="A738" s="1">
        <v>1713</v>
      </c>
      <c r="B738" s="3">
        <v>1992</v>
      </c>
      <c r="C738" s="5">
        <v>2010</v>
      </c>
      <c r="D738" s="1">
        <v>8</v>
      </c>
      <c r="E738" s="8" t="s">
        <v>28</v>
      </c>
    </row>
    <row r="739" spans="1:5" x14ac:dyDescent="0.3">
      <c r="A739" s="1">
        <v>1352</v>
      </c>
      <c r="B739" s="3">
        <v>1995</v>
      </c>
      <c r="C739" s="5">
        <v>2012</v>
      </c>
      <c r="D739" s="1">
        <v>6</v>
      </c>
      <c r="E739" s="8" t="s">
        <v>28</v>
      </c>
    </row>
    <row r="740" spans="1:5" x14ac:dyDescent="0.3">
      <c r="A740" s="1">
        <v>1357</v>
      </c>
      <c r="B740" s="3">
        <v>1995</v>
      </c>
      <c r="C740" s="5">
        <v>2013</v>
      </c>
      <c r="D740" s="1">
        <v>5</v>
      </c>
      <c r="E740" s="8" t="s">
        <v>28</v>
      </c>
    </row>
    <row r="741" spans="1:5" x14ac:dyDescent="0.3">
      <c r="A741" s="1">
        <v>1431</v>
      </c>
      <c r="B741" s="3">
        <v>1995</v>
      </c>
      <c r="C741" s="5">
        <v>2016</v>
      </c>
      <c r="D741" s="1">
        <v>7</v>
      </c>
      <c r="E741" s="8" t="s">
        <v>28</v>
      </c>
    </row>
    <row r="742" spans="1:5" x14ac:dyDescent="0.3">
      <c r="A742" s="1">
        <v>1351</v>
      </c>
      <c r="B742" s="3">
        <v>1998</v>
      </c>
      <c r="C742" s="5">
        <v>2013</v>
      </c>
      <c r="D742" s="1">
        <v>4</v>
      </c>
      <c r="E742" s="8" t="s">
        <v>28</v>
      </c>
    </row>
    <row r="743" spans="1:5" x14ac:dyDescent="0.3">
      <c r="A743" s="1">
        <v>2114</v>
      </c>
      <c r="B743" s="3">
        <v>2007</v>
      </c>
      <c r="C743" s="5">
        <v>2007</v>
      </c>
      <c r="D743" s="1">
        <v>1</v>
      </c>
      <c r="E743" s="8" t="s">
        <v>28</v>
      </c>
    </row>
    <row r="744" spans="1:5" x14ac:dyDescent="0.3">
      <c r="A744" s="1">
        <v>1359</v>
      </c>
      <c r="B744" s="3">
        <v>2007</v>
      </c>
      <c r="C744" s="5">
        <v>2013</v>
      </c>
      <c r="D744" s="1">
        <v>5</v>
      </c>
      <c r="E744" s="8" t="s">
        <v>28</v>
      </c>
    </row>
    <row r="745" spans="1:5" x14ac:dyDescent="0.3">
      <c r="A745" s="1">
        <v>1362</v>
      </c>
      <c r="B745" s="3">
        <v>2007</v>
      </c>
      <c r="C745" s="5">
        <v>2013</v>
      </c>
      <c r="D745" s="1">
        <v>5</v>
      </c>
      <c r="E745" s="8" t="s">
        <v>28</v>
      </c>
    </row>
    <row r="746" spans="1:5" x14ac:dyDescent="0.3">
      <c r="A746" s="1">
        <v>1044</v>
      </c>
      <c r="B746" s="3">
        <v>2007</v>
      </c>
      <c r="C746" s="5">
        <v>2017</v>
      </c>
      <c r="D746" s="1">
        <v>5</v>
      </c>
      <c r="E746" s="8" t="s">
        <v>28</v>
      </c>
    </row>
    <row r="747" spans="1:5" x14ac:dyDescent="0.3">
      <c r="A747" s="1">
        <v>1101</v>
      </c>
      <c r="B747" s="3">
        <v>2007</v>
      </c>
      <c r="C747" s="5">
        <v>2017</v>
      </c>
      <c r="D747" s="1">
        <v>3</v>
      </c>
      <c r="E747" s="8" t="s">
        <v>28</v>
      </c>
    </row>
    <row r="748" spans="1:5" x14ac:dyDescent="0.3">
      <c r="A748" s="1">
        <v>1609</v>
      </c>
      <c r="B748" s="3">
        <v>2008</v>
      </c>
      <c r="C748" s="5">
        <v>2009</v>
      </c>
      <c r="D748" s="1">
        <v>2</v>
      </c>
      <c r="E748" s="8" t="s">
        <v>28</v>
      </c>
    </row>
    <row r="749" spans="1:5" x14ac:dyDescent="0.3">
      <c r="A749" s="1">
        <v>1315</v>
      </c>
      <c r="B749" s="3">
        <v>2008</v>
      </c>
      <c r="C749" s="5">
        <v>2012</v>
      </c>
      <c r="D749" s="1">
        <v>3</v>
      </c>
      <c r="E749" s="8" t="s">
        <v>28</v>
      </c>
    </row>
    <row r="750" spans="1:5" x14ac:dyDescent="0.3">
      <c r="A750" s="1">
        <v>1355</v>
      </c>
      <c r="B750" s="3">
        <v>2008</v>
      </c>
      <c r="C750" s="5">
        <v>2013</v>
      </c>
      <c r="D750" s="1">
        <v>4</v>
      </c>
      <c r="E750" s="8" t="s">
        <v>28</v>
      </c>
    </row>
    <row r="751" spans="1:5" x14ac:dyDescent="0.3">
      <c r="A751" s="1">
        <v>1100</v>
      </c>
      <c r="B751" s="3">
        <v>2010</v>
      </c>
      <c r="C751" s="5">
        <v>2013</v>
      </c>
      <c r="D751" s="1">
        <v>3</v>
      </c>
      <c r="E751" s="8" t="s">
        <v>28</v>
      </c>
    </row>
    <row r="752" spans="1:5" x14ac:dyDescent="0.3">
      <c r="A752" s="1">
        <v>1361</v>
      </c>
      <c r="B752" s="3">
        <v>2010</v>
      </c>
      <c r="C752" s="5">
        <v>2013</v>
      </c>
      <c r="D752" s="1">
        <v>3</v>
      </c>
      <c r="E752" s="8" t="s">
        <v>28</v>
      </c>
    </row>
    <row r="753" spans="1:5" x14ac:dyDescent="0.3">
      <c r="A753" s="1">
        <v>1358</v>
      </c>
      <c r="B753" s="3">
        <v>2012</v>
      </c>
      <c r="C753" s="5">
        <v>2013</v>
      </c>
      <c r="D753" s="1">
        <v>2</v>
      </c>
      <c r="E753" s="8" t="s">
        <v>28</v>
      </c>
    </row>
    <row r="754" spans="1:5" x14ac:dyDescent="0.3">
      <c r="A754" s="1">
        <v>1241</v>
      </c>
      <c r="B754" s="3">
        <v>2012</v>
      </c>
      <c r="C754" s="5">
        <v>2017</v>
      </c>
      <c r="D754" s="1">
        <v>3</v>
      </c>
      <c r="E754" s="8" t="s">
        <v>28</v>
      </c>
    </row>
    <row r="755" spans="1:5" x14ac:dyDescent="0.3">
      <c r="A755" s="1">
        <v>1354</v>
      </c>
      <c r="B755" s="3">
        <v>2013</v>
      </c>
      <c r="C755" s="5">
        <v>2013</v>
      </c>
      <c r="D755" s="1">
        <v>1</v>
      </c>
      <c r="E755" s="8" t="s">
        <v>28</v>
      </c>
    </row>
    <row r="756" spans="1:5" x14ac:dyDescent="0.3">
      <c r="A756" s="1">
        <v>1356</v>
      </c>
      <c r="B756" s="3">
        <v>2013</v>
      </c>
      <c r="C756" s="5">
        <v>2013</v>
      </c>
      <c r="D756" s="1">
        <v>1</v>
      </c>
      <c r="E756" s="8" t="s">
        <v>28</v>
      </c>
    </row>
    <row r="757" spans="1:5" x14ac:dyDescent="0.3">
      <c r="A757" s="1">
        <v>1363</v>
      </c>
      <c r="B757" s="3">
        <v>2013</v>
      </c>
      <c r="C757" s="5">
        <v>2013</v>
      </c>
      <c r="D757" s="1">
        <v>1</v>
      </c>
      <c r="E757" s="8" t="s">
        <v>28</v>
      </c>
    </row>
    <row r="758" spans="1:5" x14ac:dyDescent="0.3">
      <c r="A758" s="1">
        <v>2197</v>
      </c>
      <c r="B758" s="3">
        <v>2017</v>
      </c>
      <c r="C758" s="5">
        <v>2017</v>
      </c>
      <c r="D758" s="1">
        <v>1</v>
      </c>
      <c r="E758" s="8" t="s">
        <v>28</v>
      </c>
    </row>
    <row r="759" spans="1:5" x14ac:dyDescent="0.3">
      <c r="A759" s="1">
        <v>2217</v>
      </c>
      <c r="B759" s="3">
        <v>2017</v>
      </c>
      <c r="C759" s="5">
        <v>2017</v>
      </c>
      <c r="D759" s="1">
        <v>1</v>
      </c>
      <c r="E759" s="8" t="s">
        <v>28</v>
      </c>
    </row>
    <row r="760" spans="1:5" x14ac:dyDescent="0.3">
      <c r="A760" s="1">
        <v>1094</v>
      </c>
      <c r="B760" s="3">
        <v>1991</v>
      </c>
      <c r="C760" s="5">
        <v>2008</v>
      </c>
      <c r="D760" s="1">
        <v>8</v>
      </c>
      <c r="E760" s="8" t="s">
        <v>42</v>
      </c>
    </row>
    <row r="761" spans="1:5" x14ac:dyDescent="0.3">
      <c r="A761" s="1">
        <v>2222</v>
      </c>
      <c r="B761" s="3">
        <v>1994</v>
      </c>
      <c r="C761" s="5">
        <v>1999</v>
      </c>
      <c r="D761" s="1">
        <v>2</v>
      </c>
      <c r="E761" s="8" t="s">
        <v>42</v>
      </c>
    </row>
    <row r="762" spans="1:5" x14ac:dyDescent="0.3">
      <c r="A762" s="1">
        <v>1686</v>
      </c>
      <c r="B762" s="3">
        <v>1995</v>
      </c>
      <c r="C762" s="5">
        <v>2015</v>
      </c>
      <c r="D762" s="1">
        <v>5</v>
      </c>
      <c r="E762" s="8" t="s">
        <v>42</v>
      </c>
    </row>
    <row r="763" spans="1:5" x14ac:dyDescent="0.3">
      <c r="A763" s="1">
        <v>2103</v>
      </c>
      <c r="B763" s="3">
        <v>2003</v>
      </c>
      <c r="C763" s="5">
        <v>2005</v>
      </c>
      <c r="D763" s="1">
        <v>2</v>
      </c>
      <c r="E763" s="8" t="s">
        <v>42</v>
      </c>
    </row>
    <row r="764" spans="1:5" x14ac:dyDescent="0.3">
      <c r="A764" s="1">
        <v>1285</v>
      </c>
      <c r="B764" s="3">
        <v>2007</v>
      </c>
      <c r="C764" s="5">
        <v>2017</v>
      </c>
      <c r="D764" s="1">
        <v>8</v>
      </c>
      <c r="E764" s="8" t="s">
        <v>42</v>
      </c>
    </row>
    <row r="765" spans="1:5" x14ac:dyDescent="0.3">
      <c r="A765" s="1">
        <v>1288</v>
      </c>
      <c r="B765" s="3">
        <v>2011</v>
      </c>
      <c r="C765" s="5">
        <v>2011</v>
      </c>
      <c r="D765" s="1">
        <v>1</v>
      </c>
      <c r="E765" s="8" t="s">
        <v>42</v>
      </c>
    </row>
    <row r="766" spans="1:5" x14ac:dyDescent="0.3">
      <c r="A766" s="1">
        <v>1687</v>
      </c>
      <c r="B766" s="3">
        <v>2011</v>
      </c>
      <c r="C766" s="5">
        <v>2016</v>
      </c>
      <c r="D766" s="1">
        <v>3</v>
      </c>
      <c r="E766" s="8" t="s">
        <v>42</v>
      </c>
    </row>
    <row r="767" spans="1:5" x14ac:dyDescent="0.3">
      <c r="A767" s="1">
        <v>1220</v>
      </c>
      <c r="B767" s="3">
        <v>2014</v>
      </c>
      <c r="C767" s="5">
        <v>2014</v>
      </c>
      <c r="D767" s="1">
        <v>1</v>
      </c>
      <c r="E767" s="8" t="s">
        <v>42</v>
      </c>
    </row>
    <row r="768" spans="1:5" x14ac:dyDescent="0.3">
      <c r="A768" s="1">
        <v>1289</v>
      </c>
      <c r="B768" s="3">
        <v>2014</v>
      </c>
      <c r="C768" s="5">
        <v>2015</v>
      </c>
      <c r="D768" s="1">
        <v>2</v>
      </c>
      <c r="E768" s="8" t="s">
        <v>42</v>
      </c>
    </row>
    <row r="769" spans="1:5" x14ac:dyDescent="0.3">
      <c r="A769" s="1">
        <v>1286</v>
      </c>
      <c r="B769" s="3">
        <v>2014</v>
      </c>
      <c r="C769" s="5">
        <v>2016</v>
      </c>
      <c r="D769" s="1">
        <v>3</v>
      </c>
      <c r="E769" s="8" t="s">
        <v>42</v>
      </c>
    </row>
    <row r="770" spans="1:5" x14ac:dyDescent="0.3">
      <c r="A770" s="1">
        <v>1951</v>
      </c>
      <c r="B770" s="3">
        <v>2015</v>
      </c>
      <c r="C770" s="5">
        <v>2015</v>
      </c>
      <c r="D770" s="1">
        <v>1</v>
      </c>
      <c r="E770" s="8" t="s">
        <v>42</v>
      </c>
    </row>
    <row r="771" spans="1:5" x14ac:dyDescent="0.3">
      <c r="A771" s="1">
        <v>1896</v>
      </c>
      <c r="B771" s="3">
        <v>2015</v>
      </c>
      <c r="C771" s="5">
        <v>2016</v>
      </c>
      <c r="D771" s="1">
        <v>2</v>
      </c>
      <c r="E771" s="8" t="s">
        <v>42</v>
      </c>
    </row>
    <row r="772" spans="1:5" x14ac:dyDescent="0.3">
      <c r="A772" s="1">
        <v>1963</v>
      </c>
      <c r="B772" s="3">
        <v>2016</v>
      </c>
      <c r="C772" s="5">
        <v>2016</v>
      </c>
      <c r="D772" s="1">
        <v>1</v>
      </c>
      <c r="E772" s="8" t="s">
        <v>42</v>
      </c>
    </row>
    <row r="773" spans="1:5" x14ac:dyDescent="0.3">
      <c r="A773" s="1">
        <v>2152</v>
      </c>
      <c r="B773" s="3">
        <v>1990</v>
      </c>
      <c r="C773" s="5">
        <v>1996</v>
      </c>
      <c r="D773" s="1">
        <v>5</v>
      </c>
      <c r="E773" s="8" t="s">
        <v>135</v>
      </c>
    </row>
    <row r="774" spans="1:5" x14ac:dyDescent="0.3">
      <c r="A774" s="1">
        <v>2201</v>
      </c>
      <c r="B774" s="3">
        <v>2003</v>
      </c>
      <c r="C774" s="5">
        <v>2004</v>
      </c>
      <c r="D774" s="1">
        <v>2</v>
      </c>
      <c r="E774" s="8" t="s">
        <v>135</v>
      </c>
    </row>
    <row r="775" spans="1:5" x14ac:dyDescent="0.3">
      <c r="A775" s="1">
        <v>1048</v>
      </c>
      <c r="B775" s="3">
        <v>1990</v>
      </c>
      <c r="C775" s="5">
        <v>2016</v>
      </c>
      <c r="D775" s="1">
        <v>10</v>
      </c>
      <c r="E775" s="8" t="s">
        <v>24</v>
      </c>
    </row>
    <row r="776" spans="1:5" x14ac:dyDescent="0.3">
      <c r="A776" s="1">
        <v>1799</v>
      </c>
      <c r="B776" s="3">
        <v>1998</v>
      </c>
      <c r="C776" s="5">
        <v>2007</v>
      </c>
      <c r="D776" s="1">
        <v>2</v>
      </c>
      <c r="E776" s="8" t="s">
        <v>24</v>
      </c>
    </row>
    <row r="777" spans="1:5" x14ac:dyDescent="0.3">
      <c r="A777" s="1">
        <v>1034</v>
      </c>
      <c r="B777" s="3">
        <v>1998</v>
      </c>
      <c r="C777" s="5">
        <v>2008</v>
      </c>
      <c r="D777" s="1">
        <v>2</v>
      </c>
      <c r="E777" s="8" t="s">
        <v>24</v>
      </c>
    </row>
    <row r="778" spans="1:5" x14ac:dyDescent="0.3">
      <c r="A778" s="1">
        <v>1294</v>
      </c>
      <c r="B778" s="3">
        <v>2007</v>
      </c>
      <c r="C778" s="5">
        <v>2009</v>
      </c>
      <c r="D778" s="1">
        <v>3</v>
      </c>
      <c r="E778" s="8" t="s">
        <v>24</v>
      </c>
    </row>
    <row r="779" spans="1:5" x14ac:dyDescent="0.3">
      <c r="A779" s="1">
        <v>1649</v>
      </c>
      <c r="B779" s="3">
        <v>2008</v>
      </c>
      <c r="C779" s="5">
        <v>2017</v>
      </c>
      <c r="D779" s="1">
        <v>5</v>
      </c>
      <c r="E779" s="8" t="s">
        <v>24</v>
      </c>
    </row>
    <row r="780" spans="1:5" x14ac:dyDescent="0.3">
      <c r="A780" s="1">
        <v>1151</v>
      </c>
      <c r="B780" s="3">
        <v>2009</v>
      </c>
      <c r="C780" s="5">
        <v>2009</v>
      </c>
      <c r="D780" s="1">
        <v>2</v>
      </c>
      <c r="E780" s="8" t="s">
        <v>24</v>
      </c>
    </row>
    <row r="781" spans="1:5" x14ac:dyDescent="0.3">
      <c r="A781" s="1">
        <v>1648</v>
      </c>
      <c r="B781" s="3">
        <v>2009</v>
      </c>
      <c r="C781" s="5">
        <v>2017</v>
      </c>
      <c r="D781" s="1">
        <v>3</v>
      </c>
      <c r="E781" s="8" t="s">
        <v>24</v>
      </c>
    </row>
    <row r="782" spans="1:5" x14ac:dyDescent="0.3">
      <c r="A782" s="1">
        <v>1874</v>
      </c>
      <c r="B782" s="3">
        <v>2015</v>
      </c>
      <c r="C782" s="5">
        <v>2016</v>
      </c>
      <c r="D782" s="1">
        <v>2</v>
      </c>
      <c r="E782" s="8" t="s">
        <v>24</v>
      </c>
    </row>
    <row r="783" spans="1:5" x14ac:dyDescent="0.3">
      <c r="A783" s="1">
        <v>1988</v>
      </c>
      <c r="B783" s="3">
        <v>2016</v>
      </c>
      <c r="C783" s="5">
        <v>2016</v>
      </c>
      <c r="D783" s="1">
        <v>1</v>
      </c>
      <c r="E783" s="8" t="s">
        <v>24</v>
      </c>
    </row>
    <row r="784" spans="1:5" x14ac:dyDescent="0.3">
      <c r="A784" s="1">
        <v>2194</v>
      </c>
      <c r="B784" s="3">
        <v>2017</v>
      </c>
      <c r="C784" s="5">
        <v>2017</v>
      </c>
      <c r="D784" s="1">
        <v>1</v>
      </c>
      <c r="E784" s="8" t="s">
        <v>24</v>
      </c>
    </row>
    <row r="785" spans="1:5" x14ac:dyDescent="0.3">
      <c r="A785" s="1">
        <v>2174</v>
      </c>
      <c r="B785" s="3">
        <v>1980</v>
      </c>
      <c r="C785" s="5">
        <v>1980</v>
      </c>
      <c r="D785" s="1">
        <v>1</v>
      </c>
      <c r="E785" s="8" t="s">
        <v>124</v>
      </c>
    </row>
    <row r="786" spans="1:5" x14ac:dyDescent="0.3">
      <c r="A786" s="1">
        <v>1781</v>
      </c>
      <c r="B786" s="3">
        <v>2015</v>
      </c>
      <c r="C786" s="5">
        <v>2015</v>
      </c>
      <c r="D786" s="1">
        <v>1</v>
      </c>
      <c r="E786" s="8" t="s">
        <v>124</v>
      </c>
    </row>
    <row r="787" spans="1:5" x14ac:dyDescent="0.3">
      <c r="A787" s="1">
        <v>1923</v>
      </c>
      <c r="B787" s="3">
        <v>2015</v>
      </c>
      <c r="C787" s="5">
        <v>2016</v>
      </c>
      <c r="D787" s="1">
        <v>2</v>
      </c>
      <c r="E787" s="8" t="s">
        <v>124</v>
      </c>
    </row>
    <row r="788" spans="1:5" x14ac:dyDescent="0.3">
      <c r="A788" s="1">
        <v>2011</v>
      </c>
      <c r="B788" s="3">
        <v>2016</v>
      </c>
      <c r="C788" s="5">
        <v>2016</v>
      </c>
      <c r="D788" s="1">
        <v>1</v>
      </c>
      <c r="E788" s="8" t="s">
        <v>124</v>
      </c>
    </row>
    <row r="789" spans="1:5" x14ac:dyDescent="0.3">
      <c r="A789" s="1">
        <v>2161</v>
      </c>
      <c r="B789" s="3">
        <v>1981</v>
      </c>
      <c r="C789" s="5">
        <v>1991</v>
      </c>
      <c r="D789" s="1">
        <v>3</v>
      </c>
      <c r="E789" s="8" t="s">
        <v>136</v>
      </c>
    </row>
    <row r="790" spans="1:5" x14ac:dyDescent="0.3">
      <c r="A790" s="1">
        <v>2162</v>
      </c>
      <c r="B790" s="3">
        <v>2003</v>
      </c>
      <c r="C790" s="5">
        <v>2004</v>
      </c>
      <c r="D790" s="1">
        <v>2</v>
      </c>
      <c r="E790" s="8" t="s">
        <v>69</v>
      </c>
    </row>
    <row r="791" spans="1:5" x14ac:dyDescent="0.3">
      <c r="A791" s="1">
        <v>2254</v>
      </c>
      <c r="B791" s="3">
        <v>2003</v>
      </c>
      <c r="C791" s="5">
        <v>2003</v>
      </c>
      <c r="D791" s="1">
        <v>1</v>
      </c>
      <c r="E791" s="8" t="s">
        <v>69</v>
      </c>
    </row>
    <row r="792" spans="1:5" x14ac:dyDescent="0.3">
      <c r="A792" s="1">
        <v>1253</v>
      </c>
      <c r="B792" s="3">
        <v>2014</v>
      </c>
      <c r="C792" s="5">
        <v>2014</v>
      </c>
      <c r="D792" s="1">
        <v>1</v>
      </c>
      <c r="E792" s="8" t="s">
        <v>69</v>
      </c>
    </row>
    <row r="793" spans="1:5" x14ac:dyDescent="0.3">
      <c r="A793" s="1">
        <v>1559</v>
      </c>
      <c r="B793" s="3">
        <v>2014</v>
      </c>
      <c r="C793" s="5">
        <v>2014</v>
      </c>
      <c r="D793" s="1">
        <v>1</v>
      </c>
      <c r="E793" s="8" t="s">
        <v>69</v>
      </c>
    </row>
    <row r="794" spans="1:5" x14ac:dyDescent="0.3">
      <c r="A794" s="1">
        <v>1550</v>
      </c>
      <c r="B794" s="3">
        <v>1994</v>
      </c>
      <c r="C794" s="5">
        <v>2017</v>
      </c>
      <c r="D794" s="1">
        <v>8</v>
      </c>
      <c r="E794" s="8" t="s">
        <v>100</v>
      </c>
    </row>
    <row r="795" spans="1:5" x14ac:dyDescent="0.3">
      <c r="A795" s="1">
        <v>2189</v>
      </c>
      <c r="B795" s="3">
        <v>2001</v>
      </c>
      <c r="C795" s="5">
        <v>2001</v>
      </c>
      <c r="D795" s="1">
        <v>1</v>
      </c>
      <c r="E795" s="8" t="s">
        <v>100</v>
      </c>
    </row>
    <row r="796" spans="1:5" x14ac:dyDescent="0.3">
      <c r="A796" s="1">
        <v>1761</v>
      </c>
      <c r="B796" s="3">
        <v>2010</v>
      </c>
      <c r="C796" s="5">
        <v>2017</v>
      </c>
      <c r="D796" s="1">
        <v>7</v>
      </c>
      <c r="E796" s="8" t="s">
        <v>100</v>
      </c>
    </row>
    <row r="797" spans="1:5" x14ac:dyDescent="0.3">
      <c r="A797" s="1">
        <v>1682</v>
      </c>
      <c r="B797" s="3">
        <v>2011</v>
      </c>
      <c r="C797" s="5">
        <v>2012</v>
      </c>
      <c r="D797" s="1">
        <v>2</v>
      </c>
      <c r="E797" s="8" t="s">
        <v>100</v>
      </c>
    </row>
    <row r="798" spans="1:5" x14ac:dyDescent="0.3">
      <c r="A798" s="1">
        <v>1897</v>
      </c>
      <c r="B798" s="3">
        <v>2015</v>
      </c>
      <c r="C798" s="5">
        <v>2016</v>
      </c>
      <c r="D798" s="1">
        <v>2</v>
      </c>
      <c r="E798" s="8" t="s">
        <v>100</v>
      </c>
    </row>
    <row r="799" spans="1:5" x14ac:dyDescent="0.3">
      <c r="A799" s="1">
        <v>1936</v>
      </c>
      <c r="B799" s="3">
        <v>2015</v>
      </c>
      <c r="C799" s="5">
        <v>2017</v>
      </c>
      <c r="D799" s="1">
        <v>3</v>
      </c>
      <c r="E799" s="8" t="s">
        <v>100</v>
      </c>
    </row>
    <row r="800" spans="1:5" x14ac:dyDescent="0.3">
      <c r="A800" s="1">
        <v>2004</v>
      </c>
      <c r="B800" s="3">
        <v>2016</v>
      </c>
      <c r="C800" s="5">
        <v>2016</v>
      </c>
      <c r="D800" s="1">
        <v>1</v>
      </c>
      <c r="E800" s="8" t="s">
        <v>100</v>
      </c>
    </row>
    <row r="801" spans="1:5" x14ac:dyDescent="0.3">
      <c r="A801" s="1">
        <v>2224</v>
      </c>
      <c r="B801" s="3">
        <v>2016</v>
      </c>
      <c r="C801" s="5">
        <v>2016</v>
      </c>
      <c r="D801" s="1">
        <v>3</v>
      </c>
      <c r="E801" s="8" t="s">
        <v>100</v>
      </c>
    </row>
    <row r="802" spans="1:5" x14ac:dyDescent="0.3">
      <c r="A802" s="1">
        <v>2015</v>
      </c>
      <c r="B802" s="3">
        <v>2016</v>
      </c>
      <c r="C802" s="5">
        <v>2017</v>
      </c>
      <c r="D802" s="1">
        <v>2</v>
      </c>
      <c r="E802" s="8" t="s">
        <v>100</v>
      </c>
    </row>
    <row r="803" spans="1:5" x14ac:dyDescent="0.3">
      <c r="A803" s="1">
        <v>1322</v>
      </c>
      <c r="B803" s="3">
        <v>2008</v>
      </c>
      <c r="C803" s="5">
        <v>2008</v>
      </c>
      <c r="D803" s="1">
        <v>1</v>
      </c>
      <c r="E803" s="8" t="s">
        <v>80</v>
      </c>
    </row>
    <row r="804" spans="1:5" x14ac:dyDescent="0.3">
      <c r="A804" s="1">
        <v>1983</v>
      </c>
      <c r="B804" s="3">
        <v>2016</v>
      </c>
      <c r="C804" s="5">
        <v>2016</v>
      </c>
      <c r="D804" s="1">
        <v>1</v>
      </c>
      <c r="E804" s="8" t="s">
        <v>128</v>
      </c>
    </row>
    <row r="805" spans="1:5" x14ac:dyDescent="0.3">
      <c r="A805" s="1">
        <v>2006</v>
      </c>
      <c r="B805" s="3">
        <v>2016</v>
      </c>
      <c r="C805" s="5">
        <v>2016</v>
      </c>
      <c r="D805" s="1">
        <v>1</v>
      </c>
      <c r="E805" s="8" t="s">
        <v>128</v>
      </c>
    </row>
    <row r="806" spans="1:5" x14ac:dyDescent="0.3">
      <c r="A806" s="1">
        <v>1698</v>
      </c>
      <c r="B806" s="3">
        <v>1992</v>
      </c>
      <c r="C806" s="5">
        <v>2017</v>
      </c>
      <c r="D806" s="1">
        <v>24</v>
      </c>
      <c r="E806" s="8" t="s">
        <v>21</v>
      </c>
    </row>
    <row r="807" spans="1:5" x14ac:dyDescent="0.3">
      <c r="A807" s="1">
        <v>1132</v>
      </c>
      <c r="B807" s="3">
        <v>1996</v>
      </c>
      <c r="C807" s="5">
        <v>2012</v>
      </c>
      <c r="D807" s="1">
        <v>2</v>
      </c>
      <c r="E807" s="8" t="s">
        <v>21</v>
      </c>
    </row>
    <row r="808" spans="1:5" x14ac:dyDescent="0.3">
      <c r="A808" s="1">
        <v>2198</v>
      </c>
      <c r="B808" s="3">
        <v>2007</v>
      </c>
      <c r="C808" s="5">
        <v>2007</v>
      </c>
      <c r="D808" s="1">
        <v>1</v>
      </c>
      <c r="E808" s="8" t="s">
        <v>21</v>
      </c>
    </row>
    <row r="809" spans="1:5" x14ac:dyDescent="0.3">
      <c r="A809" s="1">
        <v>1092</v>
      </c>
      <c r="B809" s="3">
        <v>2007</v>
      </c>
      <c r="C809" s="5">
        <v>2010</v>
      </c>
      <c r="D809" s="1">
        <v>4</v>
      </c>
      <c r="E809" s="8" t="s">
        <v>21</v>
      </c>
    </row>
    <row r="810" spans="1:5" x14ac:dyDescent="0.3">
      <c r="A810" s="1">
        <v>1700</v>
      </c>
      <c r="B810" s="3">
        <v>2007</v>
      </c>
      <c r="C810" s="5">
        <v>2016</v>
      </c>
      <c r="D810" s="1">
        <v>14</v>
      </c>
      <c r="E810" s="8" t="s">
        <v>21</v>
      </c>
    </row>
    <row r="811" spans="1:5" x14ac:dyDescent="0.3">
      <c r="A811" s="1">
        <v>1701</v>
      </c>
      <c r="B811" s="3">
        <v>2008</v>
      </c>
      <c r="C811" s="5">
        <v>2011</v>
      </c>
      <c r="D811" s="1">
        <v>4</v>
      </c>
      <c r="E811" s="8" t="s">
        <v>21</v>
      </c>
    </row>
    <row r="812" spans="1:5" x14ac:dyDescent="0.3">
      <c r="A812" s="1">
        <v>1323</v>
      </c>
      <c r="B812" s="3">
        <v>2011</v>
      </c>
      <c r="C812" s="5">
        <v>2012</v>
      </c>
      <c r="D812" s="1">
        <v>2</v>
      </c>
      <c r="E812" s="8" t="s">
        <v>21</v>
      </c>
    </row>
    <row r="813" spans="1:5" x14ac:dyDescent="0.3">
      <c r="A813" s="1">
        <v>1705</v>
      </c>
      <c r="B813" s="3">
        <v>2011</v>
      </c>
      <c r="C813" s="5">
        <v>2012</v>
      </c>
      <c r="D813" s="1">
        <v>2</v>
      </c>
      <c r="E813" s="8" t="s">
        <v>21</v>
      </c>
    </row>
    <row r="814" spans="1:5" x14ac:dyDescent="0.3">
      <c r="A814" s="1">
        <v>1029</v>
      </c>
      <c r="B814" s="3">
        <v>2011</v>
      </c>
      <c r="C814" s="5">
        <v>2015</v>
      </c>
      <c r="D814" s="1">
        <v>7</v>
      </c>
      <c r="E814" s="8" t="s">
        <v>21</v>
      </c>
    </row>
    <row r="815" spans="1:5" x14ac:dyDescent="0.3">
      <c r="A815" s="1">
        <v>1477</v>
      </c>
      <c r="B815" s="3">
        <v>2012</v>
      </c>
      <c r="C815" s="5">
        <v>2012</v>
      </c>
      <c r="D815" s="1">
        <v>1</v>
      </c>
      <c r="E815" s="8" t="s">
        <v>21</v>
      </c>
    </row>
    <row r="816" spans="1:5" x14ac:dyDescent="0.3">
      <c r="A816" s="1">
        <v>1699</v>
      </c>
      <c r="B816" s="3">
        <v>2015</v>
      </c>
      <c r="C816" s="5">
        <v>2017</v>
      </c>
      <c r="D816" s="1">
        <v>7</v>
      </c>
      <c r="E816" s="8" t="s">
        <v>21</v>
      </c>
    </row>
    <row r="817" spans="1:5" x14ac:dyDescent="0.3">
      <c r="A817" s="1">
        <v>1192</v>
      </c>
      <c r="B817" s="3">
        <v>1990</v>
      </c>
      <c r="C817" s="5">
        <v>2017</v>
      </c>
      <c r="D817" s="1">
        <v>15</v>
      </c>
      <c r="E817" s="8" t="s">
        <v>57</v>
      </c>
    </row>
    <row r="818" spans="1:5" x14ac:dyDescent="0.3">
      <c r="A818" s="1">
        <v>1945</v>
      </c>
      <c r="B818" s="3">
        <v>2007</v>
      </c>
      <c r="C818" s="5">
        <v>2007</v>
      </c>
      <c r="D818" s="1">
        <v>1</v>
      </c>
      <c r="E818" s="8" t="s">
        <v>57</v>
      </c>
    </row>
    <row r="819" spans="1:5" x14ac:dyDescent="0.3">
      <c r="A819" s="1">
        <v>1161</v>
      </c>
      <c r="B819" s="3">
        <v>2007</v>
      </c>
      <c r="C819" s="5">
        <v>2016</v>
      </c>
      <c r="D819" s="1">
        <v>10</v>
      </c>
      <c r="E819" s="8" t="s">
        <v>57</v>
      </c>
    </row>
    <row r="820" spans="1:5" x14ac:dyDescent="0.3">
      <c r="A820" s="1">
        <v>1449</v>
      </c>
      <c r="B820" s="3">
        <v>2007</v>
      </c>
      <c r="C820" s="5">
        <v>2017</v>
      </c>
      <c r="D820" s="1">
        <v>11</v>
      </c>
      <c r="E820" s="8" t="s">
        <v>57</v>
      </c>
    </row>
    <row r="821" spans="1:5" x14ac:dyDescent="0.3">
      <c r="A821" s="1">
        <v>1440</v>
      </c>
      <c r="B821" s="3">
        <v>2008</v>
      </c>
      <c r="C821" s="5">
        <v>2008</v>
      </c>
      <c r="D821" s="1">
        <v>1</v>
      </c>
      <c r="E821" s="8" t="s">
        <v>57</v>
      </c>
    </row>
    <row r="822" spans="1:5" x14ac:dyDescent="0.3">
      <c r="A822" s="1">
        <v>1478</v>
      </c>
      <c r="B822" s="3">
        <v>2008</v>
      </c>
      <c r="C822" s="5">
        <v>2013</v>
      </c>
      <c r="D822" s="1">
        <v>3</v>
      </c>
      <c r="E822" s="8" t="s">
        <v>57</v>
      </c>
    </row>
    <row r="823" spans="1:5" x14ac:dyDescent="0.3">
      <c r="A823" s="1">
        <v>1634</v>
      </c>
      <c r="B823" s="3">
        <v>2012</v>
      </c>
      <c r="C823" s="5">
        <v>2016</v>
      </c>
      <c r="D823" s="1">
        <v>6</v>
      </c>
      <c r="E823" s="8" t="s">
        <v>57</v>
      </c>
    </row>
    <row r="824" spans="1:5" x14ac:dyDescent="0.3">
      <c r="A824" s="1">
        <v>1159</v>
      </c>
      <c r="B824" s="3">
        <v>2014</v>
      </c>
      <c r="C824" s="5">
        <v>2015</v>
      </c>
      <c r="D824" s="1">
        <v>2</v>
      </c>
      <c r="E824" s="8" t="s">
        <v>57</v>
      </c>
    </row>
    <row r="825" spans="1:5" x14ac:dyDescent="0.3">
      <c r="A825" s="1">
        <v>2005</v>
      </c>
      <c r="B825" s="3">
        <v>2016</v>
      </c>
      <c r="C825" s="5">
        <v>2016</v>
      </c>
      <c r="D825" s="1">
        <v>1</v>
      </c>
      <c r="E825" s="8" t="s">
        <v>57</v>
      </c>
    </row>
    <row r="826" spans="1:5" x14ac:dyDescent="0.3">
      <c r="A826" s="1">
        <v>2046</v>
      </c>
      <c r="B826" s="3">
        <v>2016</v>
      </c>
      <c r="C826" s="5">
        <v>2016</v>
      </c>
      <c r="D826" s="1">
        <v>1</v>
      </c>
      <c r="E826" s="8" t="s">
        <v>57</v>
      </c>
    </row>
    <row r="827" spans="1:5" x14ac:dyDescent="0.3">
      <c r="A827" s="1">
        <v>2081</v>
      </c>
      <c r="B827" s="3">
        <v>2018</v>
      </c>
      <c r="C827" s="5">
        <v>2018</v>
      </c>
      <c r="D827" s="1">
        <v>1</v>
      </c>
      <c r="E827" s="8" t="s">
        <v>57</v>
      </c>
    </row>
    <row r="828" spans="1:5" x14ac:dyDescent="0.3">
      <c r="A828" s="1">
        <v>1345</v>
      </c>
      <c r="B828" s="3">
        <v>1991</v>
      </c>
      <c r="C828" s="5">
        <v>2017</v>
      </c>
      <c r="D828" s="1">
        <v>17</v>
      </c>
      <c r="E828" s="8" t="s">
        <v>12</v>
      </c>
    </row>
    <row r="829" spans="1:5" x14ac:dyDescent="0.3">
      <c r="A829" s="1">
        <v>1339</v>
      </c>
      <c r="B829" s="3">
        <v>1995</v>
      </c>
      <c r="C829" s="5">
        <v>2017</v>
      </c>
      <c r="D829" s="1">
        <v>16</v>
      </c>
      <c r="E829" s="8" t="s">
        <v>12</v>
      </c>
    </row>
    <row r="830" spans="1:5" x14ac:dyDescent="0.3">
      <c r="A830" s="1">
        <v>1344</v>
      </c>
      <c r="B830" s="3">
        <v>1998</v>
      </c>
      <c r="C830" s="5">
        <v>2016</v>
      </c>
      <c r="D830" s="1">
        <v>8</v>
      </c>
      <c r="E830" s="8" t="s">
        <v>12</v>
      </c>
    </row>
    <row r="831" spans="1:5" x14ac:dyDescent="0.3">
      <c r="A831" s="1">
        <v>1952</v>
      </c>
      <c r="B831" s="3">
        <v>2007</v>
      </c>
      <c r="C831" s="5">
        <v>2007</v>
      </c>
      <c r="D831" s="1">
        <v>1</v>
      </c>
      <c r="E831" s="8" t="s">
        <v>12</v>
      </c>
    </row>
    <row r="832" spans="1:5" x14ac:dyDescent="0.3">
      <c r="A832" s="1">
        <v>1483</v>
      </c>
      <c r="B832" s="3">
        <v>2007</v>
      </c>
      <c r="C832" s="5">
        <v>2010</v>
      </c>
      <c r="D832" s="1">
        <v>4</v>
      </c>
      <c r="E832" s="8" t="s">
        <v>12</v>
      </c>
    </row>
    <row r="833" spans="1:5" x14ac:dyDescent="0.3">
      <c r="A833" s="1">
        <v>1341</v>
      </c>
      <c r="B833" s="3">
        <v>2007</v>
      </c>
      <c r="C833" s="5">
        <v>2014</v>
      </c>
      <c r="D833" s="1">
        <v>12</v>
      </c>
      <c r="E833" s="8" t="s">
        <v>12</v>
      </c>
    </row>
    <row r="834" spans="1:5" x14ac:dyDescent="0.3">
      <c r="A834" s="1">
        <v>1400</v>
      </c>
      <c r="B834" s="3">
        <v>2007</v>
      </c>
      <c r="C834" s="5">
        <v>2017</v>
      </c>
      <c r="D834" s="1">
        <v>16</v>
      </c>
      <c r="E834" s="8" t="s">
        <v>12</v>
      </c>
    </row>
    <row r="835" spans="1:5" x14ac:dyDescent="0.3">
      <c r="A835" s="1">
        <v>1342</v>
      </c>
      <c r="B835" s="3">
        <v>2008</v>
      </c>
      <c r="C835" s="5">
        <v>2008</v>
      </c>
      <c r="D835" s="1">
        <v>2</v>
      </c>
      <c r="E835" s="8" t="s">
        <v>12</v>
      </c>
    </row>
    <row r="836" spans="1:5" x14ac:dyDescent="0.3">
      <c r="A836" s="1">
        <v>1340</v>
      </c>
      <c r="B836" s="3">
        <v>2008</v>
      </c>
      <c r="C836" s="5">
        <v>2009</v>
      </c>
      <c r="D836" s="1">
        <v>2</v>
      </c>
      <c r="E836" s="8" t="s">
        <v>12</v>
      </c>
    </row>
    <row r="837" spans="1:5" x14ac:dyDescent="0.3">
      <c r="A837" s="1">
        <v>1343</v>
      </c>
      <c r="B837" s="3">
        <v>2008</v>
      </c>
      <c r="C837" s="5">
        <v>2012</v>
      </c>
      <c r="D837" s="1">
        <v>2</v>
      </c>
      <c r="E837" s="8" t="s">
        <v>12</v>
      </c>
    </row>
    <row r="838" spans="1:5" x14ac:dyDescent="0.3">
      <c r="A838" s="1">
        <v>1635</v>
      </c>
      <c r="B838" s="3">
        <v>2008</v>
      </c>
      <c r="C838" s="5">
        <v>2015</v>
      </c>
      <c r="D838" s="1">
        <v>8</v>
      </c>
      <c r="E838" s="8" t="s">
        <v>12</v>
      </c>
    </row>
    <row r="839" spans="1:5" x14ac:dyDescent="0.3">
      <c r="A839" s="1">
        <v>1755</v>
      </c>
      <c r="B839" s="3">
        <v>2008</v>
      </c>
      <c r="C839" s="5">
        <v>2015</v>
      </c>
      <c r="D839" s="1">
        <v>5</v>
      </c>
      <c r="E839" s="8" t="s">
        <v>12</v>
      </c>
    </row>
    <row r="840" spans="1:5" x14ac:dyDescent="0.3">
      <c r="A840" s="1">
        <v>1013</v>
      </c>
      <c r="B840" s="3">
        <v>2008</v>
      </c>
      <c r="C840" s="5">
        <v>2017</v>
      </c>
      <c r="D840" s="1">
        <v>10</v>
      </c>
      <c r="E840" s="8" t="s">
        <v>12</v>
      </c>
    </row>
    <row r="841" spans="1:5" x14ac:dyDescent="0.3">
      <c r="A841" s="1">
        <v>1415</v>
      </c>
      <c r="B841" s="3">
        <v>2008</v>
      </c>
      <c r="C841" s="5">
        <v>2017</v>
      </c>
      <c r="D841" s="1">
        <v>8</v>
      </c>
      <c r="E841" s="9" t="s">
        <v>12</v>
      </c>
    </row>
    <row r="842" spans="1:5" x14ac:dyDescent="0.3">
      <c r="A842" s="1">
        <v>1208</v>
      </c>
      <c r="B842" s="3">
        <v>2009</v>
      </c>
      <c r="C842" s="5">
        <v>2009</v>
      </c>
      <c r="D842" s="1">
        <v>1</v>
      </c>
      <c r="E842" s="8" t="s">
        <v>12</v>
      </c>
    </row>
    <row r="843" spans="1:5" x14ac:dyDescent="0.3">
      <c r="A843" s="1">
        <v>1310</v>
      </c>
      <c r="B843" s="3">
        <v>2013</v>
      </c>
      <c r="C843" s="5">
        <v>2013</v>
      </c>
      <c r="D843" s="1">
        <v>1</v>
      </c>
      <c r="E843" s="8" t="s">
        <v>12</v>
      </c>
    </row>
    <row r="844" spans="1:5" x14ac:dyDescent="0.3">
      <c r="A844" s="1">
        <v>1250</v>
      </c>
      <c r="B844" s="3">
        <v>2013</v>
      </c>
      <c r="C844" s="5">
        <v>2017</v>
      </c>
      <c r="D844" s="1">
        <v>6</v>
      </c>
      <c r="E844" s="8" t="s">
        <v>12</v>
      </c>
    </row>
    <row r="845" spans="1:5" x14ac:dyDescent="0.3">
      <c r="A845" s="1">
        <v>1480</v>
      </c>
      <c r="B845" s="3">
        <v>2014</v>
      </c>
      <c r="C845" s="5">
        <v>2017</v>
      </c>
      <c r="D845" s="1">
        <v>5</v>
      </c>
      <c r="E845" s="8" t="s">
        <v>12</v>
      </c>
    </row>
    <row r="846" spans="1:5" x14ac:dyDescent="0.3">
      <c r="A846" s="1">
        <v>1484</v>
      </c>
      <c r="B846" s="3">
        <v>2014</v>
      </c>
      <c r="C846" s="5">
        <v>2017</v>
      </c>
      <c r="D846" s="1">
        <v>4</v>
      </c>
      <c r="E846" s="8" t="s">
        <v>12</v>
      </c>
    </row>
    <row r="847" spans="1:5" x14ac:dyDescent="0.3">
      <c r="A847" s="1">
        <v>1864</v>
      </c>
      <c r="B847" s="3">
        <v>2015</v>
      </c>
      <c r="C847" s="5">
        <v>2015</v>
      </c>
      <c r="D847" s="1">
        <v>1</v>
      </c>
      <c r="E847" s="8" t="s">
        <v>12</v>
      </c>
    </row>
    <row r="848" spans="1:5" x14ac:dyDescent="0.3">
      <c r="A848" s="1">
        <v>2001</v>
      </c>
      <c r="B848" s="3">
        <v>2016</v>
      </c>
      <c r="C848" s="5">
        <v>2016</v>
      </c>
      <c r="D848" s="1">
        <v>1</v>
      </c>
      <c r="E848" s="8" t="s">
        <v>12</v>
      </c>
    </row>
    <row r="849" spans="1:5" x14ac:dyDescent="0.3">
      <c r="A849" s="1">
        <v>2022</v>
      </c>
      <c r="B849" s="3">
        <v>2016</v>
      </c>
      <c r="C849" s="5">
        <v>2016</v>
      </c>
      <c r="D849" s="1">
        <v>1</v>
      </c>
      <c r="E849" s="8" t="s">
        <v>12</v>
      </c>
    </row>
    <row r="850" spans="1:5" x14ac:dyDescent="0.3">
      <c r="A850" s="1">
        <v>1981</v>
      </c>
      <c r="B850" s="3">
        <v>2016</v>
      </c>
      <c r="C850" s="5">
        <v>2017</v>
      </c>
      <c r="D850" s="1">
        <v>2</v>
      </c>
      <c r="E850" s="8" t="s">
        <v>12</v>
      </c>
    </row>
    <row r="851" spans="1:5" x14ac:dyDescent="0.3">
      <c r="A851" s="1">
        <v>2044</v>
      </c>
      <c r="B851" s="3">
        <v>2016</v>
      </c>
      <c r="C851" s="5">
        <v>2017</v>
      </c>
      <c r="D851" s="1">
        <v>2</v>
      </c>
      <c r="E851" s="8" t="s">
        <v>12</v>
      </c>
    </row>
    <row r="852" spans="1:5" x14ac:dyDescent="0.3">
      <c r="A852" s="1">
        <v>1090</v>
      </c>
      <c r="B852" s="3">
        <v>1992</v>
      </c>
      <c r="C852" s="5">
        <v>2015</v>
      </c>
      <c r="D852" s="1">
        <v>12</v>
      </c>
      <c r="E852" s="8" t="s">
        <v>139</v>
      </c>
    </row>
    <row r="853" spans="1:5" x14ac:dyDescent="0.3">
      <c r="A853" s="1">
        <v>2195</v>
      </c>
      <c r="B853" s="3">
        <v>2017</v>
      </c>
      <c r="C853" s="5">
        <v>2017</v>
      </c>
      <c r="D853" s="1">
        <v>1</v>
      </c>
      <c r="E853" s="8" t="s">
        <v>139</v>
      </c>
    </row>
    <row r="854" spans="1:5" x14ac:dyDescent="0.3">
      <c r="A854" s="1">
        <v>1121</v>
      </c>
      <c r="B854" s="3">
        <v>1992</v>
      </c>
      <c r="C854" s="5">
        <v>2015</v>
      </c>
      <c r="D854" s="1">
        <v>14</v>
      </c>
      <c r="E854" s="8" t="s">
        <v>13</v>
      </c>
    </row>
    <row r="855" spans="1:5" x14ac:dyDescent="0.3">
      <c r="A855" s="1">
        <v>1722</v>
      </c>
      <c r="B855" s="3">
        <v>1992</v>
      </c>
      <c r="C855" s="5">
        <v>2015</v>
      </c>
      <c r="D855" s="1">
        <v>15</v>
      </c>
      <c r="E855" s="8" t="s">
        <v>13</v>
      </c>
    </row>
    <row r="856" spans="1:5" x14ac:dyDescent="0.3">
      <c r="A856" s="1">
        <v>1721</v>
      </c>
      <c r="B856" s="3">
        <v>1996</v>
      </c>
      <c r="C856" s="5">
        <v>2015</v>
      </c>
      <c r="D856" s="1">
        <v>9</v>
      </c>
      <c r="E856" s="8" t="s">
        <v>13</v>
      </c>
    </row>
    <row r="857" spans="1:5" x14ac:dyDescent="0.3">
      <c r="A857" s="1">
        <v>1772</v>
      </c>
      <c r="B857" s="3">
        <v>1998</v>
      </c>
      <c r="C857" s="5">
        <v>2014</v>
      </c>
      <c r="D857" s="1">
        <v>2</v>
      </c>
      <c r="E857" s="8" t="s">
        <v>13</v>
      </c>
    </row>
    <row r="858" spans="1:5" x14ac:dyDescent="0.3">
      <c r="A858" s="1">
        <v>1773</v>
      </c>
      <c r="B858" s="3">
        <v>1998</v>
      </c>
      <c r="C858" s="5">
        <v>2014</v>
      </c>
      <c r="D858" s="1">
        <v>3</v>
      </c>
      <c r="E858" s="8" t="s">
        <v>13</v>
      </c>
    </row>
    <row r="859" spans="1:5" x14ac:dyDescent="0.3">
      <c r="A859" s="1">
        <v>1366</v>
      </c>
      <c r="B859" s="3">
        <v>2009</v>
      </c>
      <c r="C859" s="5">
        <v>2009</v>
      </c>
      <c r="D859" s="1">
        <v>1</v>
      </c>
      <c r="E859" s="8" t="s">
        <v>13</v>
      </c>
    </row>
    <row r="860" spans="1:5" x14ac:dyDescent="0.3">
      <c r="A860" s="1">
        <v>1015</v>
      </c>
      <c r="B860" s="3">
        <v>2009</v>
      </c>
      <c r="C860" s="5">
        <v>2011</v>
      </c>
      <c r="D860" s="1">
        <v>3</v>
      </c>
      <c r="E860" s="8" t="s">
        <v>13</v>
      </c>
    </row>
    <row r="861" spans="1:5" x14ac:dyDescent="0.3">
      <c r="A861" s="1">
        <v>1158</v>
      </c>
      <c r="B861" s="3">
        <v>2012</v>
      </c>
      <c r="C861" s="5">
        <v>2012</v>
      </c>
      <c r="D861" s="1">
        <v>1</v>
      </c>
      <c r="E861" s="8" t="s">
        <v>13</v>
      </c>
    </row>
    <row r="862" spans="1:5" x14ac:dyDescent="0.3">
      <c r="A862" s="1">
        <v>1689</v>
      </c>
      <c r="B862" s="3">
        <v>2012</v>
      </c>
      <c r="C862" s="5">
        <v>2012</v>
      </c>
      <c r="D862" s="1">
        <v>1</v>
      </c>
      <c r="E862" s="8" t="s">
        <v>13</v>
      </c>
    </row>
    <row r="863" spans="1:5" x14ac:dyDescent="0.3">
      <c r="A863" s="1">
        <v>1164</v>
      </c>
      <c r="B863" s="3">
        <v>2007</v>
      </c>
      <c r="C863" s="5">
        <v>2010</v>
      </c>
      <c r="D863" s="1">
        <v>6</v>
      </c>
      <c r="E863" s="8" t="s">
        <v>48</v>
      </c>
    </row>
    <row r="864" spans="1:5" x14ac:dyDescent="0.3">
      <c r="A864" s="1">
        <v>1123</v>
      </c>
      <c r="B864" s="3">
        <v>2007</v>
      </c>
      <c r="C864" s="5">
        <v>2014</v>
      </c>
      <c r="D864" s="1">
        <v>4</v>
      </c>
      <c r="E864" s="8" t="s">
        <v>48</v>
      </c>
    </row>
    <row r="865" spans="1:5" x14ac:dyDescent="0.3">
      <c r="A865" s="1">
        <v>1735</v>
      </c>
      <c r="B865" s="3">
        <v>2012</v>
      </c>
      <c r="C865" s="5">
        <v>2012</v>
      </c>
      <c r="D865" s="1">
        <v>1</v>
      </c>
      <c r="E865" s="8" t="s">
        <v>48</v>
      </c>
    </row>
    <row r="866" spans="1:5" x14ac:dyDescent="0.3">
      <c r="A866" s="1">
        <v>1122</v>
      </c>
      <c r="B866" s="3">
        <v>2013</v>
      </c>
      <c r="C866" s="5">
        <v>2013</v>
      </c>
      <c r="D866" s="1">
        <v>1</v>
      </c>
      <c r="E866" s="8" t="s">
        <v>48</v>
      </c>
    </row>
    <row r="867" spans="1:5" x14ac:dyDescent="0.3">
      <c r="A867" s="1">
        <v>2233</v>
      </c>
      <c r="B867" s="3">
        <v>1981</v>
      </c>
      <c r="C867" s="5">
        <v>1990</v>
      </c>
      <c r="D867" s="1">
        <v>2</v>
      </c>
      <c r="E867" s="8" t="s">
        <v>53</v>
      </c>
    </row>
    <row r="868" spans="1:5" x14ac:dyDescent="0.3">
      <c r="A868" s="1">
        <v>1138</v>
      </c>
      <c r="B868" s="3">
        <v>1990</v>
      </c>
      <c r="C868" s="5">
        <v>2009</v>
      </c>
      <c r="D868" s="1">
        <v>10</v>
      </c>
      <c r="E868" s="8" t="s">
        <v>53</v>
      </c>
    </row>
    <row r="869" spans="1:5" x14ac:dyDescent="0.3">
      <c r="A869" s="1">
        <v>1751</v>
      </c>
      <c r="B869" s="3">
        <v>1990</v>
      </c>
      <c r="C869" s="5">
        <v>2013</v>
      </c>
      <c r="D869" s="1">
        <v>13</v>
      </c>
      <c r="E869" s="8" t="s">
        <v>53</v>
      </c>
    </row>
    <row r="870" spans="1:5" x14ac:dyDescent="0.3">
      <c r="A870" s="1">
        <v>1432</v>
      </c>
      <c r="B870" s="3">
        <v>1993</v>
      </c>
      <c r="C870" s="5">
        <v>2013</v>
      </c>
      <c r="D870" s="1">
        <v>6</v>
      </c>
      <c r="E870" s="8" t="s">
        <v>53</v>
      </c>
    </row>
    <row r="871" spans="1:5" x14ac:dyDescent="0.3">
      <c r="A871" s="1">
        <v>2264</v>
      </c>
      <c r="B871" s="3">
        <v>1999</v>
      </c>
      <c r="C871" s="5">
        <v>2003</v>
      </c>
      <c r="D871" s="1">
        <v>2</v>
      </c>
      <c r="E871" s="8" t="s">
        <v>53</v>
      </c>
    </row>
    <row r="872" spans="1:5" x14ac:dyDescent="0.3">
      <c r="A872" s="1">
        <v>1450</v>
      </c>
      <c r="B872" s="3">
        <v>2008</v>
      </c>
      <c r="C872" s="5">
        <v>2008</v>
      </c>
      <c r="D872" s="1">
        <v>1</v>
      </c>
      <c r="E872" s="8" t="s">
        <v>53</v>
      </c>
    </row>
    <row r="873" spans="1:5" x14ac:dyDescent="0.3">
      <c r="A873" s="1">
        <v>1191</v>
      </c>
      <c r="B873" s="3">
        <v>2011</v>
      </c>
      <c r="C873" s="5">
        <v>2017</v>
      </c>
      <c r="D873" s="1">
        <v>5</v>
      </c>
      <c r="E873" s="8" t="s">
        <v>53</v>
      </c>
    </row>
    <row r="874" spans="1:5" x14ac:dyDescent="0.3">
      <c r="A874" s="1">
        <v>1883</v>
      </c>
      <c r="B874" s="3">
        <v>2012</v>
      </c>
      <c r="C874" s="5">
        <v>2012</v>
      </c>
      <c r="D874" s="1">
        <v>1</v>
      </c>
      <c r="E874" s="8" t="s">
        <v>53</v>
      </c>
    </row>
    <row r="875" spans="1:5" x14ac:dyDescent="0.3">
      <c r="A875" s="1">
        <v>1778</v>
      </c>
      <c r="B875" s="3">
        <v>2015</v>
      </c>
      <c r="C875" s="5">
        <v>2015</v>
      </c>
      <c r="D875" s="1">
        <v>1</v>
      </c>
      <c r="E875" s="8" t="s">
        <v>53</v>
      </c>
    </row>
    <row r="876" spans="1:5" x14ac:dyDescent="0.3">
      <c r="A876" s="1">
        <v>1730</v>
      </c>
      <c r="B876" s="3">
        <v>2012</v>
      </c>
      <c r="C876" s="5">
        <v>2017</v>
      </c>
      <c r="D876" s="1">
        <v>8</v>
      </c>
      <c r="E876" s="8" t="s">
        <v>73</v>
      </c>
    </row>
    <row r="877" spans="1:5" x14ac:dyDescent="0.3">
      <c r="A877" s="1">
        <v>1729</v>
      </c>
      <c r="B877" s="3">
        <v>2013</v>
      </c>
      <c r="C877" s="5">
        <v>2014</v>
      </c>
      <c r="D877" s="1">
        <v>2</v>
      </c>
      <c r="E877" s="8" t="s">
        <v>73</v>
      </c>
    </row>
    <row r="878" spans="1:5" x14ac:dyDescent="0.3">
      <c r="A878" s="1">
        <v>1272</v>
      </c>
      <c r="B878" s="3">
        <v>2014</v>
      </c>
      <c r="C878" s="5">
        <v>2014</v>
      </c>
      <c r="D878" s="1">
        <v>1</v>
      </c>
      <c r="E878" s="8" t="s">
        <v>73</v>
      </c>
    </row>
    <row r="879" spans="1:5" x14ac:dyDescent="0.3">
      <c r="A879" s="1">
        <v>1886</v>
      </c>
      <c r="B879" s="3">
        <v>2015</v>
      </c>
      <c r="C879" s="5">
        <v>2017</v>
      </c>
      <c r="D879" s="1">
        <v>5</v>
      </c>
      <c r="E879" s="8" t="s">
        <v>73</v>
      </c>
    </row>
    <row r="880" spans="1:5" x14ac:dyDescent="0.3">
      <c r="A880" s="1">
        <v>1982</v>
      </c>
      <c r="B880" s="3">
        <v>2016</v>
      </c>
      <c r="C880" s="5">
        <v>2016</v>
      </c>
      <c r="D880" s="1">
        <v>1</v>
      </c>
      <c r="E880" s="8" t="s">
        <v>73</v>
      </c>
    </row>
    <row r="881" spans="1:5" x14ac:dyDescent="0.3">
      <c r="A881" s="1">
        <v>1964</v>
      </c>
      <c r="B881" s="3">
        <v>2016</v>
      </c>
      <c r="C881" s="5">
        <v>2017</v>
      </c>
      <c r="D881" s="1">
        <v>2</v>
      </c>
      <c r="E881" s="8" t="s">
        <v>73</v>
      </c>
    </row>
    <row r="882" spans="1:5" x14ac:dyDescent="0.3">
      <c r="A882" s="1">
        <v>1397</v>
      </c>
      <c r="B882" s="3">
        <v>2013</v>
      </c>
      <c r="C882" s="5">
        <v>2013</v>
      </c>
      <c r="D882" s="1">
        <v>1</v>
      </c>
      <c r="E882" s="8" t="s">
        <v>90</v>
      </c>
    </row>
    <row r="883" spans="1:5" x14ac:dyDescent="0.3">
      <c r="A883" s="1">
        <v>1846</v>
      </c>
      <c r="B883" s="3">
        <v>2015</v>
      </c>
      <c r="C883" s="5">
        <v>2016</v>
      </c>
      <c r="D883" s="1">
        <v>2</v>
      </c>
      <c r="E883" s="8" t="s">
        <v>90</v>
      </c>
    </row>
    <row r="884" spans="1:5" x14ac:dyDescent="0.3">
      <c r="A884" s="1">
        <v>2021</v>
      </c>
      <c r="B884" s="3">
        <v>2016</v>
      </c>
      <c r="C884" s="5">
        <v>2016</v>
      </c>
      <c r="D884" s="1">
        <v>1</v>
      </c>
      <c r="E884" s="8" t="s">
        <v>90</v>
      </c>
    </row>
    <row r="885" spans="1:5" x14ac:dyDescent="0.3">
      <c r="A885" s="1">
        <v>1447</v>
      </c>
      <c r="B885" s="3">
        <v>1993</v>
      </c>
      <c r="C885" s="5">
        <v>2014</v>
      </c>
      <c r="D885" s="1">
        <v>3</v>
      </c>
      <c r="E885" s="8" t="s">
        <v>97</v>
      </c>
    </row>
    <row r="886" spans="1:5" x14ac:dyDescent="0.3">
      <c r="A886" s="1">
        <v>1506</v>
      </c>
      <c r="B886" s="3">
        <v>2014</v>
      </c>
      <c r="C886" s="5">
        <v>2016</v>
      </c>
      <c r="D886" s="1">
        <v>4</v>
      </c>
      <c r="E886" s="8" t="s">
        <v>97</v>
      </c>
    </row>
    <row r="887" spans="1:5" x14ac:dyDescent="0.3">
      <c r="A887" s="1">
        <v>1204</v>
      </c>
      <c r="B887" s="3">
        <v>1995</v>
      </c>
      <c r="C887" s="5">
        <v>2016</v>
      </c>
      <c r="D887" s="1">
        <v>16</v>
      </c>
      <c r="E887" s="8" t="s">
        <v>63</v>
      </c>
    </row>
    <row r="888" spans="1:5" x14ac:dyDescent="0.3">
      <c r="A888" s="1">
        <v>1005</v>
      </c>
      <c r="B888" s="3">
        <v>1996</v>
      </c>
      <c r="C888" s="5">
        <v>2013</v>
      </c>
      <c r="D888" s="1">
        <v>5</v>
      </c>
      <c r="E888" s="8" t="s">
        <v>63</v>
      </c>
    </row>
    <row r="889" spans="1:5" x14ac:dyDescent="0.3">
      <c r="A889" s="1">
        <v>1898</v>
      </c>
      <c r="B889" s="3">
        <v>2015</v>
      </c>
      <c r="C889" s="5">
        <v>2015</v>
      </c>
      <c r="D889" s="1">
        <v>1</v>
      </c>
      <c r="E889" s="8" t="s">
        <v>63</v>
      </c>
    </row>
    <row r="890" spans="1:5" x14ac:dyDescent="0.3">
      <c r="A890" s="1">
        <v>2031</v>
      </c>
      <c r="B890" s="3">
        <v>2016</v>
      </c>
      <c r="C890" s="5">
        <v>2016</v>
      </c>
      <c r="D890" s="1">
        <v>1</v>
      </c>
      <c r="E890" s="8" t="s">
        <v>63</v>
      </c>
    </row>
    <row r="891" spans="1:5" x14ac:dyDescent="0.3">
      <c r="A891" s="1">
        <v>1654</v>
      </c>
      <c r="B891" s="3">
        <v>1988</v>
      </c>
      <c r="C891" s="5">
        <v>2012</v>
      </c>
      <c r="D891" s="1">
        <v>13</v>
      </c>
      <c r="E891" s="8" t="s">
        <v>31</v>
      </c>
    </row>
    <row r="892" spans="1:5" x14ac:dyDescent="0.3">
      <c r="A892" s="1">
        <v>1613</v>
      </c>
      <c r="B892" s="3">
        <v>1991</v>
      </c>
      <c r="C892" s="5">
        <v>2016</v>
      </c>
      <c r="D892" s="1">
        <v>8</v>
      </c>
      <c r="E892" s="8" t="s">
        <v>31</v>
      </c>
    </row>
    <row r="893" spans="1:5" x14ac:dyDescent="0.3">
      <c r="A893" s="1">
        <v>1644</v>
      </c>
      <c r="B893" s="3">
        <v>1992</v>
      </c>
      <c r="C893" s="5">
        <v>2017</v>
      </c>
      <c r="D893" s="1">
        <v>18</v>
      </c>
      <c r="E893" s="8" t="s">
        <v>31</v>
      </c>
    </row>
    <row r="894" spans="1:5" x14ac:dyDescent="0.3">
      <c r="A894" s="1">
        <v>1643</v>
      </c>
      <c r="B894" s="3">
        <v>1993</v>
      </c>
      <c r="C894" s="5">
        <v>2017</v>
      </c>
      <c r="D894" s="1">
        <v>13</v>
      </c>
      <c r="E894" s="8" t="s">
        <v>31</v>
      </c>
    </row>
    <row r="895" spans="1:5" x14ac:dyDescent="0.3">
      <c r="A895" s="1">
        <v>1455</v>
      </c>
      <c r="B895" s="3">
        <v>1995</v>
      </c>
      <c r="C895" s="5">
        <v>2017</v>
      </c>
      <c r="D895" s="1">
        <v>16</v>
      </c>
      <c r="E895" s="8" t="s">
        <v>31</v>
      </c>
    </row>
    <row r="896" spans="1:5" x14ac:dyDescent="0.3">
      <c r="A896" s="1">
        <v>1051</v>
      </c>
      <c r="B896" s="3">
        <v>1998</v>
      </c>
      <c r="C896" s="5">
        <v>2017</v>
      </c>
      <c r="D896" s="1">
        <v>11</v>
      </c>
      <c r="E896" s="8" t="s">
        <v>31</v>
      </c>
    </row>
    <row r="897" spans="1:5" x14ac:dyDescent="0.3">
      <c r="A897" s="1">
        <v>2212</v>
      </c>
      <c r="B897" s="3">
        <v>2007</v>
      </c>
      <c r="C897" s="5">
        <v>2007</v>
      </c>
      <c r="D897" s="1">
        <v>1</v>
      </c>
      <c r="E897" s="8" t="s">
        <v>31</v>
      </c>
    </row>
    <row r="898" spans="1:5" x14ac:dyDescent="0.3">
      <c r="A898" s="1">
        <v>1590</v>
      </c>
      <c r="B898" s="3">
        <v>2007</v>
      </c>
      <c r="C898" s="5">
        <v>2009</v>
      </c>
      <c r="D898" s="1">
        <v>5</v>
      </c>
      <c r="E898" s="8" t="s">
        <v>31</v>
      </c>
    </row>
    <row r="899" spans="1:5" x14ac:dyDescent="0.3">
      <c r="A899" s="1">
        <v>1645</v>
      </c>
      <c r="B899" s="3">
        <v>2007</v>
      </c>
      <c r="C899" s="5">
        <v>2010</v>
      </c>
      <c r="D899" s="1">
        <v>2</v>
      </c>
      <c r="E899" s="8" t="s">
        <v>31</v>
      </c>
    </row>
    <row r="900" spans="1:5" x14ac:dyDescent="0.3">
      <c r="A900" s="1">
        <v>1152</v>
      </c>
      <c r="B900" s="3">
        <v>2007</v>
      </c>
      <c r="C900" s="5">
        <v>2012</v>
      </c>
      <c r="D900" s="1">
        <v>6</v>
      </c>
      <c r="E900" s="8" t="s">
        <v>31</v>
      </c>
    </row>
    <row r="901" spans="1:5" x14ac:dyDescent="0.3">
      <c r="A901" s="1">
        <v>1710</v>
      </c>
      <c r="B901" s="3">
        <v>2007</v>
      </c>
      <c r="C901" s="5">
        <v>2015</v>
      </c>
      <c r="D901" s="1">
        <v>8</v>
      </c>
      <c r="E901" s="8" t="s">
        <v>31</v>
      </c>
    </row>
    <row r="902" spans="1:5" x14ac:dyDescent="0.3">
      <c r="A902" s="1">
        <v>1277</v>
      </c>
      <c r="B902" s="3">
        <v>2007</v>
      </c>
      <c r="C902" s="5">
        <v>2017</v>
      </c>
      <c r="D902" s="1">
        <v>11</v>
      </c>
      <c r="E902" s="8" t="s">
        <v>31</v>
      </c>
    </row>
    <row r="903" spans="1:5" x14ac:dyDescent="0.3">
      <c r="A903" s="1">
        <v>1425</v>
      </c>
      <c r="B903" s="3">
        <v>2007</v>
      </c>
      <c r="C903" s="5">
        <v>2017</v>
      </c>
      <c r="D903" s="1">
        <v>9</v>
      </c>
      <c r="E903" s="8" t="s">
        <v>31</v>
      </c>
    </row>
    <row r="904" spans="1:5" x14ac:dyDescent="0.3">
      <c r="A904" s="1">
        <v>1429</v>
      </c>
      <c r="B904" s="3">
        <v>2008</v>
      </c>
      <c r="C904" s="5">
        <v>2017</v>
      </c>
      <c r="D904" s="1">
        <v>10</v>
      </c>
      <c r="E904" s="8" t="s">
        <v>31</v>
      </c>
    </row>
    <row r="905" spans="1:5" x14ac:dyDescent="0.3">
      <c r="A905" s="1">
        <v>1442</v>
      </c>
      <c r="B905" s="3">
        <v>2011</v>
      </c>
      <c r="C905" s="5">
        <v>2017</v>
      </c>
      <c r="D905" s="1">
        <v>6</v>
      </c>
      <c r="E905" s="8" t="s">
        <v>31</v>
      </c>
    </row>
    <row r="906" spans="1:5" x14ac:dyDescent="0.3">
      <c r="A906" s="1">
        <v>1582</v>
      </c>
      <c r="B906" s="3">
        <v>2012</v>
      </c>
      <c r="C906" s="5">
        <v>2015</v>
      </c>
      <c r="D906" s="1">
        <v>4</v>
      </c>
      <c r="E906" s="8" t="s">
        <v>31</v>
      </c>
    </row>
    <row r="907" spans="1:5" x14ac:dyDescent="0.3">
      <c r="A907" s="1">
        <v>1196</v>
      </c>
      <c r="B907" s="3">
        <v>2012</v>
      </c>
      <c r="C907" s="5">
        <v>2016</v>
      </c>
      <c r="D907" s="1">
        <v>5</v>
      </c>
      <c r="E907" s="8" t="s">
        <v>31</v>
      </c>
    </row>
    <row r="908" spans="1:5" x14ac:dyDescent="0.3">
      <c r="A908" s="1">
        <v>1566</v>
      </c>
      <c r="B908" s="3">
        <v>2012</v>
      </c>
      <c r="C908" s="5">
        <v>2017</v>
      </c>
      <c r="D908" s="1">
        <v>6</v>
      </c>
      <c r="E908" s="10" t="s">
        <v>31</v>
      </c>
    </row>
    <row r="909" spans="1:5" x14ac:dyDescent="0.3">
      <c r="A909" s="1">
        <v>1395</v>
      </c>
      <c r="B909" s="3">
        <v>2013</v>
      </c>
      <c r="C909" s="5">
        <v>2016</v>
      </c>
      <c r="D909" s="1">
        <v>4</v>
      </c>
      <c r="E909" s="8" t="s">
        <v>31</v>
      </c>
    </row>
    <row r="910" spans="1:5" x14ac:dyDescent="0.3">
      <c r="A910" s="1">
        <v>1847</v>
      </c>
      <c r="B910" s="3">
        <v>2015</v>
      </c>
      <c r="C910" s="5">
        <v>2016</v>
      </c>
      <c r="D910" s="1">
        <v>2</v>
      </c>
      <c r="E910" s="8" t="s">
        <v>31</v>
      </c>
    </row>
    <row r="911" spans="1:5" x14ac:dyDescent="0.3">
      <c r="A911" s="1">
        <v>2029</v>
      </c>
      <c r="B911" s="3">
        <v>2016</v>
      </c>
      <c r="C911" s="5">
        <v>2016</v>
      </c>
      <c r="D911" s="1">
        <v>1</v>
      </c>
      <c r="E911" s="8" t="s">
        <v>31</v>
      </c>
    </row>
    <row r="912" spans="1:5" x14ac:dyDescent="0.3">
      <c r="A912" s="1">
        <v>2020</v>
      </c>
      <c r="B912" s="3">
        <v>2016</v>
      </c>
      <c r="C912" s="5">
        <v>2017</v>
      </c>
      <c r="D912" s="1">
        <v>2</v>
      </c>
      <c r="E912" s="8" t="s">
        <v>31</v>
      </c>
    </row>
    <row r="913" spans="1:5" x14ac:dyDescent="0.3">
      <c r="A913" s="1">
        <v>2128</v>
      </c>
      <c r="B913" s="3">
        <v>2017</v>
      </c>
      <c r="C913" s="5">
        <v>2017</v>
      </c>
      <c r="D913" s="1">
        <v>1</v>
      </c>
      <c r="E913" s="8" t="s">
        <v>31</v>
      </c>
    </row>
    <row r="914" spans="1:5" x14ac:dyDescent="0.3">
      <c r="A914" s="1">
        <v>1406</v>
      </c>
      <c r="B914" s="3">
        <v>1972</v>
      </c>
      <c r="C914" s="5">
        <v>2015</v>
      </c>
      <c r="D914" s="1">
        <v>16</v>
      </c>
      <c r="E914" s="8" t="s">
        <v>7</v>
      </c>
    </row>
    <row r="915" spans="1:5" x14ac:dyDescent="0.3">
      <c r="A915" s="1">
        <v>1056</v>
      </c>
      <c r="B915" s="3">
        <v>1982</v>
      </c>
      <c r="C915" s="5">
        <v>2016</v>
      </c>
      <c r="D915" s="1">
        <v>20</v>
      </c>
      <c r="E915" s="8" t="s">
        <v>7</v>
      </c>
    </row>
    <row r="916" spans="1:5" x14ac:dyDescent="0.3">
      <c r="A916" s="1">
        <v>1868</v>
      </c>
      <c r="B916" s="3">
        <v>1990</v>
      </c>
      <c r="C916" s="5">
        <v>2007</v>
      </c>
      <c r="D916" s="1">
        <v>6</v>
      </c>
      <c r="E916" s="8" t="s">
        <v>7</v>
      </c>
    </row>
    <row r="917" spans="1:5" x14ac:dyDescent="0.3">
      <c r="A917" s="1">
        <v>1008</v>
      </c>
      <c r="B917" s="3">
        <v>1993</v>
      </c>
      <c r="C917" s="5">
        <v>2014</v>
      </c>
      <c r="D917" s="1">
        <v>9</v>
      </c>
      <c r="E917" s="8" t="s">
        <v>7</v>
      </c>
    </row>
    <row r="918" spans="1:5" x14ac:dyDescent="0.3">
      <c r="A918" s="1">
        <v>1412</v>
      </c>
      <c r="B918" s="3">
        <v>1993</v>
      </c>
      <c r="C918" s="5">
        <v>2015</v>
      </c>
      <c r="D918" s="1">
        <v>6</v>
      </c>
      <c r="E918" s="8" t="s">
        <v>7</v>
      </c>
    </row>
    <row r="919" spans="1:5" x14ac:dyDescent="0.3">
      <c r="A919" s="1">
        <v>1067</v>
      </c>
      <c r="B919" s="3">
        <v>1995</v>
      </c>
      <c r="C919" s="5">
        <v>2013</v>
      </c>
      <c r="D919" s="1">
        <v>3</v>
      </c>
      <c r="E919" s="8" t="s">
        <v>7</v>
      </c>
    </row>
    <row r="920" spans="1:5" x14ac:dyDescent="0.3">
      <c r="A920" s="1">
        <v>1347</v>
      </c>
      <c r="B920" s="3">
        <v>1998</v>
      </c>
      <c r="C920" s="5">
        <v>2017</v>
      </c>
      <c r="D920" s="1">
        <v>7</v>
      </c>
      <c r="E920" s="8" t="s">
        <v>7</v>
      </c>
    </row>
    <row r="921" spans="1:5" x14ac:dyDescent="0.3">
      <c r="A921" s="1">
        <v>1058</v>
      </c>
      <c r="B921" s="3">
        <v>2007</v>
      </c>
      <c r="C921" s="5">
        <v>2015</v>
      </c>
      <c r="D921" s="1">
        <v>7</v>
      </c>
      <c r="E921" s="8" t="s">
        <v>7</v>
      </c>
    </row>
    <row r="922" spans="1:5" x14ac:dyDescent="0.3">
      <c r="A922" s="1">
        <v>1407</v>
      </c>
      <c r="B922" s="3">
        <v>2007</v>
      </c>
      <c r="C922" s="5">
        <v>2016</v>
      </c>
      <c r="D922" s="1">
        <v>9</v>
      </c>
      <c r="E922" s="8" t="s">
        <v>7</v>
      </c>
    </row>
    <row r="923" spans="1:5" x14ac:dyDescent="0.3">
      <c r="A923" s="1">
        <v>1410</v>
      </c>
      <c r="B923" s="3">
        <v>2007</v>
      </c>
      <c r="C923" s="5">
        <v>2017</v>
      </c>
      <c r="D923" s="1">
        <v>7</v>
      </c>
      <c r="E923" s="8" t="s">
        <v>7</v>
      </c>
    </row>
    <row r="924" spans="1:5" x14ac:dyDescent="0.3">
      <c r="A924" s="1">
        <v>1405</v>
      </c>
      <c r="B924" s="3">
        <v>2008</v>
      </c>
      <c r="C924" s="5">
        <v>2008</v>
      </c>
      <c r="D924" s="1">
        <v>1</v>
      </c>
      <c r="E924" s="8" t="s">
        <v>7</v>
      </c>
    </row>
    <row r="925" spans="1:5" x14ac:dyDescent="0.3">
      <c r="A925" s="1">
        <v>1408</v>
      </c>
      <c r="B925" s="3">
        <v>2008</v>
      </c>
      <c r="C925" s="5">
        <v>2008</v>
      </c>
      <c r="D925" s="1">
        <v>1</v>
      </c>
      <c r="E925" s="8" t="s">
        <v>7</v>
      </c>
    </row>
    <row r="926" spans="1:5" x14ac:dyDescent="0.3">
      <c r="A926" s="1">
        <v>1066</v>
      </c>
      <c r="B926" s="3">
        <v>2008</v>
      </c>
      <c r="C926" s="5">
        <v>2015</v>
      </c>
      <c r="D926" s="1">
        <v>7</v>
      </c>
      <c r="E926" s="8" t="s">
        <v>7</v>
      </c>
    </row>
    <row r="927" spans="1:5" x14ac:dyDescent="0.3">
      <c r="A927" s="1">
        <v>1411</v>
      </c>
      <c r="B927" s="3">
        <v>2009</v>
      </c>
      <c r="C927" s="5">
        <v>2009</v>
      </c>
      <c r="D927" s="1">
        <v>1</v>
      </c>
      <c r="E927" s="8" t="s">
        <v>7</v>
      </c>
    </row>
    <row r="928" spans="1:5" x14ac:dyDescent="0.3">
      <c r="A928" s="1">
        <v>1404</v>
      </c>
      <c r="B928" s="3">
        <v>2010</v>
      </c>
      <c r="C928" s="5">
        <v>2015</v>
      </c>
      <c r="D928" s="1">
        <v>8</v>
      </c>
      <c r="E928" s="8" t="s">
        <v>7</v>
      </c>
    </row>
    <row r="929" spans="1:5" x14ac:dyDescent="0.3">
      <c r="A929" s="1">
        <v>1403</v>
      </c>
      <c r="B929" s="3">
        <v>2011</v>
      </c>
      <c r="C929" s="5">
        <v>2014</v>
      </c>
      <c r="D929" s="1">
        <v>2</v>
      </c>
      <c r="E929" s="8" t="s">
        <v>7</v>
      </c>
    </row>
    <row r="930" spans="1:5" x14ac:dyDescent="0.3">
      <c r="A930" s="1">
        <v>1413</v>
      </c>
      <c r="B930" s="3">
        <v>2011</v>
      </c>
      <c r="C930" s="5">
        <v>2015</v>
      </c>
      <c r="D930" s="1">
        <v>7</v>
      </c>
      <c r="E930" s="8" t="s">
        <v>7</v>
      </c>
    </row>
    <row r="931" spans="1:5" x14ac:dyDescent="0.3">
      <c r="A931" s="1">
        <v>1022</v>
      </c>
      <c r="B931" s="3">
        <v>2011</v>
      </c>
      <c r="C931" s="5">
        <v>2017</v>
      </c>
      <c r="D931" s="1">
        <v>7</v>
      </c>
      <c r="E931" s="8" t="s">
        <v>7</v>
      </c>
    </row>
    <row r="932" spans="1:5" x14ac:dyDescent="0.3">
      <c r="A932" s="1">
        <v>1409</v>
      </c>
      <c r="B932" s="3">
        <v>2014</v>
      </c>
      <c r="C932" s="5">
        <v>2014</v>
      </c>
      <c r="D932" s="1">
        <v>1</v>
      </c>
      <c r="E932" s="8" t="s">
        <v>7</v>
      </c>
    </row>
    <row r="933" spans="1:5" x14ac:dyDescent="0.3">
      <c r="A933" s="1">
        <v>1708</v>
      </c>
      <c r="B933" s="3">
        <v>2014</v>
      </c>
      <c r="C933" s="5">
        <v>2015</v>
      </c>
      <c r="D933" s="1">
        <v>2</v>
      </c>
      <c r="E933" s="8" t="s">
        <v>7</v>
      </c>
    </row>
    <row r="934" spans="1:5" x14ac:dyDescent="0.3">
      <c r="A934" s="1">
        <v>1724</v>
      </c>
      <c r="B934" s="3">
        <v>2014</v>
      </c>
      <c r="C934" s="5">
        <v>2015</v>
      </c>
      <c r="D934" s="1">
        <v>2</v>
      </c>
      <c r="E934" s="8" t="s">
        <v>7</v>
      </c>
    </row>
    <row r="935" spans="1:5" x14ac:dyDescent="0.3">
      <c r="A935" s="1">
        <v>1927</v>
      </c>
      <c r="B935" s="3">
        <v>2015</v>
      </c>
      <c r="C935" s="5">
        <v>2015</v>
      </c>
      <c r="D935" s="1">
        <v>1</v>
      </c>
      <c r="E935" s="8" t="s">
        <v>7</v>
      </c>
    </row>
    <row r="936" spans="1:5" x14ac:dyDescent="0.3">
      <c r="A936" s="1">
        <v>2037</v>
      </c>
      <c r="B936" s="3">
        <v>2016</v>
      </c>
      <c r="C936" s="5">
        <v>2016</v>
      </c>
      <c r="D936" s="1">
        <v>1</v>
      </c>
      <c r="E936" s="8" t="s">
        <v>7</v>
      </c>
    </row>
    <row r="937" spans="1:5" x14ac:dyDescent="0.3">
      <c r="A937" s="1">
        <v>2045</v>
      </c>
      <c r="B937" s="3">
        <v>2016</v>
      </c>
      <c r="C937" s="5">
        <v>2017</v>
      </c>
      <c r="D937" s="1">
        <v>2</v>
      </c>
      <c r="E937" s="8" t="s">
        <v>7</v>
      </c>
    </row>
    <row r="938" spans="1:5" x14ac:dyDescent="0.3">
      <c r="A938" s="1">
        <v>2098</v>
      </c>
      <c r="B938" s="3">
        <v>2017</v>
      </c>
      <c r="C938" s="5">
        <v>2017</v>
      </c>
      <c r="D938" s="1">
        <v>1</v>
      </c>
      <c r="E938" s="8" t="s">
        <v>7</v>
      </c>
    </row>
    <row r="939" spans="1:5" x14ac:dyDescent="0.3">
      <c r="A939" s="1">
        <v>1417</v>
      </c>
      <c r="B939" s="3">
        <v>1990</v>
      </c>
      <c r="C939" s="5">
        <v>2017</v>
      </c>
      <c r="D939" s="1">
        <v>17</v>
      </c>
      <c r="E939" s="8" t="s">
        <v>49</v>
      </c>
    </row>
    <row r="940" spans="1:5" x14ac:dyDescent="0.3">
      <c r="A940" s="1">
        <v>2204</v>
      </c>
      <c r="B940" s="3">
        <v>1990</v>
      </c>
      <c r="C940" s="5">
        <v>1995</v>
      </c>
      <c r="D940" s="1">
        <v>2</v>
      </c>
      <c r="E940" s="8" t="s">
        <v>49</v>
      </c>
    </row>
    <row r="941" spans="1:5" x14ac:dyDescent="0.3">
      <c r="A941" s="1">
        <v>1814</v>
      </c>
      <c r="B941" s="3">
        <v>1992</v>
      </c>
      <c r="C941" s="5">
        <v>2007</v>
      </c>
      <c r="D941" s="1">
        <v>7</v>
      </c>
      <c r="E941" s="8" t="s">
        <v>49</v>
      </c>
    </row>
    <row r="942" spans="1:5" x14ac:dyDescent="0.3">
      <c r="A942" s="1">
        <v>1127</v>
      </c>
      <c r="B942" s="3">
        <v>1994</v>
      </c>
      <c r="C942" s="5">
        <v>2009</v>
      </c>
      <c r="D942" s="1">
        <v>7</v>
      </c>
      <c r="E942" s="8" t="s">
        <v>49</v>
      </c>
    </row>
    <row r="943" spans="1:5" x14ac:dyDescent="0.3">
      <c r="A943" s="1">
        <v>1855</v>
      </c>
      <c r="B943" s="3">
        <v>2007</v>
      </c>
      <c r="C943" s="5">
        <v>2007</v>
      </c>
      <c r="D943" s="1">
        <v>1</v>
      </c>
      <c r="E943" s="8" t="s">
        <v>49</v>
      </c>
    </row>
    <row r="944" spans="1:5" x14ac:dyDescent="0.3">
      <c r="A944" s="1">
        <v>1858</v>
      </c>
      <c r="B944" s="3">
        <v>2007</v>
      </c>
      <c r="C944" s="5">
        <v>2007</v>
      </c>
      <c r="D944" s="1">
        <v>1</v>
      </c>
      <c r="E944" s="8" t="s">
        <v>49</v>
      </c>
    </row>
    <row r="945" spans="1:5" x14ac:dyDescent="0.3">
      <c r="A945" s="1">
        <v>1126</v>
      </c>
      <c r="B945" s="3">
        <v>2007</v>
      </c>
      <c r="C945" s="5">
        <v>2017</v>
      </c>
      <c r="D945" s="1">
        <v>14</v>
      </c>
      <c r="E945" s="8" t="s">
        <v>49</v>
      </c>
    </row>
    <row r="946" spans="1:5" x14ac:dyDescent="0.3">
      <c r="A946" s="1">
        <v>1171</v>
      </c>
      <c r="B946" s="3">
        <v>2008</v>
      </c>
      <c r="C946" s="5">
        <v>2017</v>
      </c>
      <c r="D946" s="1">
        <v>9</v>
      </c>
      <c r="E946" s="8" t="s">
        <v>49</v>
      </c>
    </row>
    <row r="947" spans="1:5" x14ac:dyDescent="0.3">
      <c r="A947" s="1">
        <v>1418</v>
      </c>
      <c r="B947" s="3">
        <v>2013</v>
      </c>
      <c r="C947" s="5">
        <v>2013</v>
      </c>
      <c r="D947" s="1">
        <v>1</v>
      </c>
      <c r="E947" s="8" t="s">
        <v>49</v>
      </c>
    </row>
    <row r="948" spans="1:5" x14ac:dyDescent="0.3">
      <c r="A948" s="1">
        <v>2052</v>
      </c>
      <c r="B948" s="3">
        <v>2016</v>
      </c>
      <c r="C948" s="5">
        <v>2016</v>
      </c>
      <c r="D948" s="1">
        <v>1</v>
      </c>
      <c r="E948" s="8" t="s">
        <v>49</v>
      </c>
    </row>
    <row r="949" spans="1:5" x14ac:dyDescent="0.3">
      <c r="A949" s="1">
        <v>2163</v>
      </c>
      <c r="B949" s="3">
        <v>2017</v>
      </c>
      <c r="C949" s="5">
        <v>2017</v>
      </c>
      <c r="D949" s="1">
        <v>1</v>
      </c>
      <c r="E949" s="8" t="s">
        <v>49</v>
      </c>
    </row>
    <row r="950" spans="1:5" x14ac:dyDescent="0.3">
      <c r="A950" s="1">
        <v>2219</v>
      </c>
      <c r="B950" s="3">
        <v>2017</v>
      </c>
      <c r="C950" s="5">
        <v>2017</v>
      </c>
      <c r="D950" s="1">
        <v>1</v>
      </c>
      <c r="E950" s="8" t="s">
        <v>49</v>
      </c>
    </row>
    <row r="951" spans="1:5" x14ac:dyDescent="0.3">
      <c r="A951" s="1">
        <v>2247</v>
      </c>
      <c r="B951" s="3">
        <v>2017</v>
      </c>
      <c r="C951" s="5">
        <v>2017</v>
      </c>
      <c r="D951" s="1">
        <v>1</v>
      </c>
      <c r="E951" s="8" t="s">
        <v>49</v>
      </c>
    </row>
    <row r="952" spans="1:5" x14ac:dyDescent="0.3">
      <c r="A952" s="1">
        <v>1748</v>
      </c>
      <c r="B952" s="3">
        <v>1991</v>
      </c>
      <c r="C952" s="5">
        <v>2008</v>
      </c>
      <c r="D952" s="1">
        <v>5</v>
      </c>
      <c r="E952" s="8" t="s">
        <v>85</v>
      </c>
    </row>
    <row r="953" spans="1:5" x14ac:dyDescent="0.3">
      <c r="A953" s="1">
        <v>2243</v>
      </c>
      <c r="B953" s="3">
        <v>2000</v>
      </c>
      <c r="C953" s="5">
        <v>2000</v>
      </c>
      <c r="D953" s="1">
        <v>1</v>
      </c>
      <c r="E953" s="8" t="s">
        <v>85</v>
      </c>
    </row>
    <row r="954" spans="1:5" x14ac:dyDescent="0.3">
      <c r="A954" s="1">
        <v>1809</v>
      </c>
      <c r="B954" s="3">
        <v>2007</v>
      </c>
      <c r="C954" s="5">
        <v>2007</v>
      </c>
      <c r="D954" s="1">
        <v>1</v>
      </c>
      <c r="E954" s="8" t="s">
        <v>85</v>
      </c>
    </row>
    <row r="955" spans="1:5" x14ac:dyDescent="0.3">
      <c r="A955" s="1">
        <v>1746</v>
      </c>
      <c r="B955" s="3">
        <v>2008</v>
      </c>
      <c r="C955" s="5">
        <v>2008</v>
      </c>
      <c r="D955" s="1">
        <v>1</v>
      </c>
      <c r="E955" s="8" t="s">
        <v>85</v>
      </c>
    </row>
    <row r="956" spans="1:5" x14ac:dyDescent="0.3">
      <c r="A956" s="1">
        <v>1747</v>
      </c>
      <c r="B956" s="3">
        <v>2008</v>
      </c>
      <c r="C956" s="5">
        <v>2008</v>
      </c>
      <c r="D956" s="1">
        <v>1</v>
      </c>
      <c r="E956" s="8" t="s">
        <v>85</v>
      </c>
    </row>
    <row r="957" spans="1:5" x14ac:dyDescent="0.3">
      <c r="A957" s="1">
        <v>1749</v>
      </c>
      <c r="B957" s="3">
        <v>2008</v>
      </c>
      <c r="C957" s="5">
        <v>2008</v>
      </c>
      <c r="D957" s="1">
        <v>1</v>
      </c>
      <c r="E957" s="8" t="s">
        <v>85</v>
      </c>
    </row>
    <row r="958" spans="1:5" x14ac:dyDescent="0.3">
      <c r="A958" s="1">
        <v>1364</v>
      </c>
      <c r="B958" s="3">
        <v>2014</v>
      </c>
      <c r="C958" s="5">
        <v>2015</v>
      </c>
      <c r="D958" s="1">
        <v>2</v>
      </c>
      <c r="E958" s="8" t="s">
        <v>85</v>
      </c>
    </row>
    <row r="959" spans="1:5" x14ac:dyDescent="0.3">
      <c r="A959" s="1">
        <v>2110</v>
      </c>
      <c r="B959" s="3">
        <v>1984</v>
      </c>
      <c r="C959" s="5">
        <v>1992</v>
      </c>
      <c r="D959" s="1">
        <v>13</v>
      </c>
      <c r="E959" s="8" t="s">
        <v>22</v>
      </c>
    </row>
    <row r="960" spans="1:5" x14ac:dyDescent="0.3">
      <c r="A960" s="1">
        <v>1142</v>
      </c>
      <c r="B960" s="3">
        <v>1990</v>
      </c>
      <c r="C960" s="5">
        <v>2017</v>
      </c>
      <c r="D960" s="1">
        <v>13</v>
      </c>
      <c r="E960" s="8" t="s">
        <v>22</v>
      </c>
    </row>
    <row r="961" spans="1:5" x14ac:dyDescent="0.3">
      <c r="A961" s="1">
        <v>1887</v>
      </c>
      <c r="B961" s="3">
        <v>1990</v>
      </c>
      <c r="C961" s="5">
        <v>2017</v>
      </c>
      <c r="D961" s="1">
        <v>8</v>
      </c>
      <c r="E961" s="8" t="s">
        <v>22</v>
      </c>
    </row>
    <row r="962" spans="1:5" x14ac:dyDescent="0.3">
      <c r="A962" s="1">
        <v>1470</v>
      </c>
      <c r="B962" s="3">
        <v>1993</v>
      </c>
      <c r="C962" s="5">
        <v>2008</v>
      </c>
      <c r="D962" s="1">
        <v>3</v>
      </c>
      <c r="E962" s="8" t="s">
        <v>22</v>
      </c>
    </row>
    <row r="963" spans="1:5" x14ac:dyDescent="0.3">
      <c r="A963" s="1">
        <v>1433</v>
      </c>
      <c r="B963" s="3">
        <v>1998</v>
      </c>
      <c r="C963" s="5">
        <v>2016</v>
      </c>
      <c r="D963" s="1">
        <v>6</v>
      </c>
      <c r="E963" s="8" t="s">
        <v>22</v>
      </c>
    </row>
    <row r="964" spans="1:5" x14ac:dyDescent="0.3">
      <c r="A964" s="1">
        <v>1852</v>
      </c>
      <c r="B964" s="3">
        <v>2007</v>
      </c>
      <c r="C964" s="5">
        <v>2007</v>
      </c>
      <c r="D964" s="1">
        <v>1</v>
      </c>
      <c r="E964" s="8" t="s">
        <v>22</v>
      </c>
    </row>
    <row r="965" spans="1:5" x14ac:dyDescent="0.3">
      <c r="A965" s="1">
        <v>2137</v>
      </c>
      <c r="B965" s="3">
        <v>2010</v>
      </c>
      <c r="C965" s="5">
        <v>2013</v>
      </c>
      <c r="D965" s="1">
        <v>2</v>
      </c>
      <c r="E965" s="8" t="s">
        <v>22</v>
      </c>
    </row>
    <row r="966" spans="1:5" x14ac:dyDescent="0.3">
      <c r="A966" s="1">
        <v>1031</v>
      </c>
      <c r="B966" s="3">
        <v>2012</v>
      </c>
      <c r="C966" s="5">
        <v>2014</v>
      </c>
      <c r="D966" s="1">
        <v>3</v>
      </c>
      <c r="E966" s="8" t="s">
        <v>22</v>
      </c>
    </row>
    <row r="967" spans="1:5" x14ac:dyDescent="0.3">
      <c r="A967" s="1">
        <v>1435</v>
      </c>
      <c r="B967" s="3">
        <v>2014</v>
      </c>
      <c r="C967" s="5">
        <v>2017</v>
      </c>
      <c r="D967" s="1">
        <v>4</v>
      </c>
      <c r="E967" s="8" t="s">
        <v>22</v>
      </c>
    </row>
    <row r="968" spans="1:5" x14ac:dyDescent="0.3">
      <c r="A968" s="1">
        <v>1917</v>
      </c>
      <c r="B968" s="3">
        <v>2015</v>
      </c>
      <c r="C968" s="5">
        <v>2015</v>
      </c>
      <c r="D968" s="1">
        <v>1</v>
      </c>
      <c r="E968" s="8" t="s">
        <v>22</v>
      </c>
    </row>
    <row r="969" spans="1:5" x14ac:dyDescent="0.3">
      <c r="A969" s="1">
        <v>2261</v>
      </c>
      <c r="B969" s="3">
        <v>2015</v>
      </c>
      <c r="C969" s="5">
        <v>2015</v>
      </c>
      <c r="D969" s="1">
        <v>1</v>
      </c>
      <c r="E969" s="8" t="s">
        <v>22</v>
      </c>
    </row>
    <row r="970" spans="1:5" x14ac:dyDescent="0.3">
      <c r="A970" s="1">
        <v>1149</v>
      </c>
      <c r="B970" s="3">
        <v>2007</v>
      </c>
      <c r="C970" s="5">
        <v>2010</v>
      </c>
      <c r="D970" s="1">
        <v>3</v>
      </c>
      <c r="E970" s="8" t="s">
        <v>56</v>
      </c>
    </row>
    <row r="971" spans="1:5" x14ac:dyDescent="0.3">
      <c r="A971" s="1">
        <v>2249</v>
      </c>
      <c r="B971" s="3">
        <v>1979</v>
      </c>
      <c r="C971" s="5">
        <v>2004</v>
      </c>
      <c r="D971" s="1">
        <v>4</v>
      </c>
      <c r="E971" s="8" t="s">
        <v>9</v>
      </c>
    </row>
    <row r="972" spans="1:5" x14ac:dyDescent="0.3">
      <c r="A972" s="1">
        <v>1283</v>
      </c>
      <c r="B972" s="3">
        <v>1990</v>
      </c>
      <c r="C972" s="5">
        <v>2008</v>
      </c>
      <c r="D972" s="1">
        <v>7</v>
      </c>
      <c r="E972" s="8" t="s">
        <v>9</v>
      </c>
    </row>
    <row r="973" spans="1:5" x14ac:dyDescent="0.3">
      <c r="A973" s="1">
        <v>1575</v>
      </c>
      <c r="B973" s="3">
        <v>1992</v>
      </c>
      <c r="C973" s="5">
        <v>2010</v>
      </c>
      <c r="D973" s="1">
        <v>10</v>
      </c>
      <c r="E973" s="8" t="s">
        <v>9</v>
      </c>
    </row>
    <row r="974" spans="1:5" x14ac:dyDescent="0.3">
      <c r="A974" s="1">
        <v>2220</v>
      </c>
      <c r="B974" s="3">
        <v>1993</v>
      </c>
      <c r="C974" s="5">
        <v>1994</v>
      </c>
      <c r="D974" s="1">
        <v>2</v>
      </c>
      <c r="E974" s="8" t="s">
        <v>9</v>
      </c>
    </row>
    <row r="975" spans="1:5" x14ac:dyDescent="0.3">
      <c r="A975" s="1">
        <v>1084</v>
      </c>
      <c r="B975" s="3">
        <v>1998</v>
      </c>
      <c r="C975" s="5">
        <v>2015</v>
      </c>
      <c r="D975" s="1">
        <v>10</v>
      </c>
      <c r="E975" s="8" t="s">
        <v>9</v>
      </c>
    </row>
    <row r="976" spans="1:5" x14ac:dyDescent="0.3">
      <c r="A976" s="1">
        <v>1601</v>
      </c>
      <c r="B976" s="3">
        <v>1998</v>
      </c>
      <c r="C976" s="5">
        <v>2016</v>
      </c>
      <c r="D976" s="1">
        <v>6</v>
      </c>
      <c r="E976" s="8" t="s">
        <v>9</v>
      </c>
    </row>
    <row r="977" spans="1:5" x14ac:dyDescent="0.3">
      <c r="A977" s="1">
        <v>1885</v>
      </c>
      <c r="B977" s="3">
        <v>2007</v>
      </c>
      <c r="C977" s="5">
        <v>2007</v>
      </c>
      <c r="D977" s="1">
        <v>1</v>
      </c>
      <c r="E977" s="8" t="s">
        <v>9</v>
      </c>
    </row>
    <row r="978" spans="1:5" x14ac:dyDescent="0.3">
      <c r="A978" s="1">
        <v>1481</v>
      </c>
      <c r="B978" s="3">
        <v>2007</v>
      </c>
      <c r="C978" s="5">
        <v>2009</v>
      </c>
      <c r="D978" s="1">
        <v>3</v>
      </c>
      <c r="E978" s="8" t="s">
        <v>9</v>
      </c>
    </row>
    <row r="979" spans="1:5" x14ac:dyDescent="0.3">
      <c r="A979" s="1">
        <v>1189</v>
      </c>
      <c r="B979" s="3">
        <v>2007</v>
      </c>
      <c r="C979" s="5">
        <v>2015</v>
      </c>
      <c r="D979" s="1">
        <v>12</v>
      </c>
      <c r="E979" s="8" t="s">
        <v>9</v>
      </c>
    </row>
    <row r="980" spans="1:5" x14ac:dyDescent="0.3">
      <c r="A980" s="1">
        <v>1717</v>
      </c>
      <c r="B980" s="3">
        <v>2007</v>
      </c>
      <c r="C980" s="5">
        <v>2016</v>
      </c>
      <c r="D980" s="1">
        <v>4</v>
      </c>
      <c r="E980" s="8" t="s">
        <v>9</v>
      </c>
    </row>
    <row r="981" spans="1:5" x14ac:dyDescent="0.3">
      <c r="A981" s="1">
        <v>1010</v>
      </c>
      <c r="B981" s="3">
        <v>2008</v>
      </c>
      <c r="C981" s="5">
        <v>2008</v>
      </c>
      <c r="D981" s="1">
        <v>1</v>
      </c>
      <c r="E981" s="8" t="s">
        <v>9</v>
      </c>
    </row>
    <row r="982" spans="1:5" x14ac:dyDescent="0.3">
      <c r="A982" s="1">
        <v>1085</v>
      </c>
      <c r="B982" s="3">
        <v>2008</v>
      </c>
      <c r="C982" s="5">
        <v>2008</v>
      </c>
      <c r="D982" s="1">
        <v>1</v>
      </c>
      <c r="E982" s="8" t="s">
        <v>9</v>
      </c>
    </row>
    <row r="983" spans="1:5" x14ac:dyDescent="0.3">
      <c r="A983" s="1">
        <v>1279</v>
      </c>
      <c r="B983" s="3">
        <v>2008</v>
      </c>
      <c r="C983" s="5">
        <v>2008</v>
      </c>
      <c r="D983" s="1">
        <v>1</v>
      </c>
      <c r="E983" s="8" t="s">
        <v>9</v>
      </c>
    </row>
    <row r="984" spans="1:5" x14ac:dyDescent="0.3">
      <c r="A984" s="1">
        <v>1046</v>
      </c>
      <c r="B984" s="3">
        <v>2008</v>
      </c>
      <c r="C984" s="5">
        <v>2009</v>
      </c>
      <c r="D984" s="1">
        <v>2</v>
      </c>
      <c r="E984" s="8" t="s">
        <v>9</v>
      </c>
    </row>
    <row r="985" spans="1:5" x14ac:dyDescent="0.3">
      <c r="A985" s="1">
        <v>1021</v>
      </c>
      <c r="B985" s="3">
        <v>2008</v>
      </c>
      <c r="C985" s="5">
        <v>2016</v>
      </c>
      <c r="D985" s="1">
        <v>9</v>
      </c>
      <c r="E985" s="8" t="s">
        <v>9</v>
      </c>
    </row>
    <row r="986" spans="1:5" x14ac:dyDescent="0.3">
      <c r="A986" s="1">
        <v>1482</v>
      </c>
      <c r="B986" s="3">
        <v>2013</v>
      </c>
      <c r="C986" s="5">
        <v>2013</v>
      </c>
      <c r="D986" s="1">
        <v>1</v>
      </c>
      <c r="E986" s="8" t="s">
        <v>9</v>
      </c>
    </row>
    <row r="987" spans="1:5" x14ac:dyDescent="0.3">
      <c r="A987" s="1">
        <v>1162</v>
      </c>
      <c r="B987" s="3">
        <v>2014</v>
      </c>
      <c r="C987" s="5">
        <v>2014</v>
      </c>
      <c r="D987" s="1">
        <v>1</v>
      </c>
      <c r="E987" s="8" t="s">
        <v>9</v>
      </c>
    </row>
    <row r="988" spans="1:5" x14ac:dyDescent="0.3">
      <c r="A988" s="1">
        <v>1916</v>
      </c>
      <c r="B988" s="3">
        <v>2015</v>
      </c>
      <c r="C988" s="5">
        <v>2017</v>
      </c>
      <c r="D988" s="1">
        <v>3</v>
      </c>
      <c r="E988" s="8" t="s">
        <v>9</v>
      </c>
    </row>
    <row r="989" spans="1:5" x14ac:dyDescent="0.3">
      <c r="A989" s="1">
        <v>1226</v>
      </c>
      <c r="B989" s="3">
        <v>1994</v>
      </c>
      <c r="C989" s="5">
        <v>2009</v>
      </c>
      <c r="D989" s="1">
        <v>4</v>
      </c>
      <c r="E989" s="8" t="s">
        <v>66</v>
      </c>
    </row>
    <row r="990" spans="1:5" x14ac:dyDescent="0.3">
      <c r="A990" s="1">
        <v>2105</v>
      </c>
      <c r="B990" s="3">
        <v>2000</v>
      </c>
      <c r="C990" s="5">
        <v>2004</v>
      </c>
      <c r="D990" s="1">
        <v>3</v>
      </c>
      <c r="E990" s="8" t="s">
        <v>66</v>
      </c>
    </row>
    <row r="991" spans="1:5" x14ac:dyDescent="0.3">
      <c r="A991" s="1">
        <v>2092</v>
      </c>
      <c r="B991" s="3">
        <v>2003</v>
      </c>
      <c r="C991" s="5">
        <v>2003</v>
      </c>
      <c r="D991" s="1">
        <v>1</v>
      </c>
      <c r="E991" s="8" t="s">
        <v>66</v>
      </c>
    </row>
    <row r="992" spans="1:5" x14ac:dyDescent="0.3">
      <c r="A992" s="1">
        <v>1826</v>
      </c>
      <c r="B992" s="3">
        <v>2013</v>
      </c>
      <c r="C992" s="5">
        <v>2013</v>
      </c>
      <c r="D992" s="1">
        <v>1</v>
      </c>
      <c r="E992" s="8" t="s">
        <v>66</v>
      </c>
    </row>
    <row r="993" spans="1:5" x14ac:dyDescent="0.3">
      <c r="A993" s="1">
        <v>1824</v>
      </c>
      <c r="B993" s="3">
        <v>2015</v>
      </c>
      <c r="C993" s="5">
        <v>2015</v>
      </c>
      <c r="D993" s="1">
        <v>1</v>
      </c>
      <c r="E993" s="8" t="s">
        <v>115</v>
      </c>
    </row>
    <row r="994" spans="1:5" x14ac:dyDescent="0.3">
      <c r="A994" s="1">
        <v>1875</v>
      </c>
      <c r="B994" s="3">
        <v>1990</v>
      </c>
      <c r="C994" s="5">
        <v>2007</v>
      </c>
      <c r="D994" s="1">
        <v>9</v>
      </c>
      <c r="E994" s="8" t="s">
        <v>105</v>
      </c>
    </row>
    <row r="995" spans="1:5" x14ac:dyDescent="0.3">
      <c r="A995" s="1">
        <v>2094</v>
      </c>
      <c r="B995" s="3">
        <v>1996</v>
      </c>
      <c r="C995" s="5">
        <v>2003</v>
      </c>
      <c r="D995" s="1">
        <v>3</v>
      </c>
      <c r="E995" s="8" t="s">
        <v>105</v>
      </c>
    </row>
    <row r="996" spans="1:5" x14ac:dyDescent="0.3">
      <c r="A996" s="1">
        <v>2213</v>
      </c>
      <c r="B996" s="3">
        <v>1996</v>
      </c>
      <c r="C996" s="5">
        <v>2003</v>
      </c>
      <c r="D996" s="1">
        <v>2</v>
      </c>
      <c r="E996" s="8" t="s">
        <v>105</v>
      </c>
    </row>
    <row r="997" spans="1:5" x14ac:dyDescent="0.3">
      <c r="A997" s="1">
        <v>1626</v>
      </c>
      <c r="B997" s="3">
        <v>2012</v>
      </c>
      <c r="C997" s="5">
        <v>2014</v>
      </c>
      <c r="D997" s="1">
        <v>2</v>
      </c>
      <c r="E997" s="8" t="s">
        <v>105</v>
      </c>
    </row>
    <row r="998" spans="1:5" x14ac:dyDescent="0.3">
      <c r="A998" s="1">
        <v>1625</v>
      </c>
      <c r="B998" s="3">
        <v>2014</v>
      </c>
      <c r="C998" s="5">
        <v>2014</v>
      </c>
      <c r="D998" s="1">
        <v>1</v>
      </c>
      <c r="E998" s="8" t="s">
        <v>105</v>
      </c>
    </row>
    <row r="999" spans="1:5" x14ac:dyDescent="0.3">
      <c r="A999" s="1">
        <v>2059</v>
      </c>
      <c r="B999" s="3">
        <v>2018</v>
      </c>
      <c r="C999" s="5">
        <v>2018</v>
      </c>
      <c r="D999" s="1">
        <v>1</v>
      </c>
      <c r="E999" s="8" t="s">
        <v>105</v>
      </c>
    </row>
    <row r="1000" spans="1:5" x14ac:dyDescent="0.3">
      <c r="A1000" s="1">
        <v>1562</v>
      </c>
      <c r="B1000" s="3">
        <v>1990</v>
      </c>
      <c r="C1000" s="5">
        <v>2014</v>
      </c>
      <c r="D1000" s="1">
        <v>6</v>
      </c>
      <c r="E1000" s="8" t="s">
        <v>87</v>
      </c>
    </row>
    <row r="1001" spans="1:5" x14ac:dyDescent="0.3">
      <c r="A1001" s="1">
        <v>1368</v>
      </c>
      <c r="B1001" s="3">
        <v>1994</v>
      </c>
      <c r="C1001" s="5">
        <v>2017</v>
      </c>
      <c r="D1001" s="1">
        <v>14</v>
      </c>
      <c r="E1001" s="8" t="s">
        <v>87</v>
      </c>
    </row>
    <row r="1002" spans="1:5" x14ac:dyDescent="0.3">
      <c r="A1002" s="1">
        <v>1739</v>
      </c>
      <c r="B1002" s="3">
        <v>2011</v>
      </c>
      <c r="C1002" s="5">
        <v>2011</v>
      </c>
      <c r="D1002" s="1">
        <v>1</v>
      </c>
      <c r="E1002" s="8" t="s">
        <v>111</v>
      </c>
    </row>
    <row r="1003" spans="1:5" x14ac:dyDescent="0.3">
      <c r="A1003" s="1">
        <v>1843</v>
      </c>
      <c r="B1003" s="3">
        <v>2015</v>
      </c>
      <c r="C1003" s="5">
        <v>2015</v>
      </c>
      <c r="D1003" s="1">
        <v>1</v>
      </c>
      <c r="E1003" s="8" t="s">
        <v>117</v>
      </c>
    </row>
    <row r="1004" spans="1:5" x14ac:dyDescent="0.3">
      <c r="A1004" s="1">
        <v>1993</v>
      </c>
      <c r="B1004" s="3">
        <v>2016</v>
      </c>
      <c r="C1004" s="5">
        <v>2016</v>
      </c>
      <c r="D1004" s="1">
        <v>1</v>
      </c>
      <c r="E1004" s="8" t="s">
        <v>117</v>
      </c>
    </row>
    <row r="1005" spans="1:5" x14ac:dyDescent="0.3">
      <c r="A1005" s="1">
        <v>2014</v>
      </c>
      <c r="B1005" s="3">
        <v>2016</v>
      </c>
      <c r="C1005" s="5">
        <v>2016</v>
      </c>
      <c r="D1005" s="1">
        <v>1</v>
      </c>
      <c r="E1005" s="8" t="s">
        <v>117</v>
      </c>
    </row>
    <row r="1006" spans="1:5" x14ac:dyDescent="0.3">
      <c r="A1006" s="1">
        <v>2186</v>
      </c>
      <c r="B1006" s="3">
        <v>1998</v>
      </c>
      <c r="C1006" s="5">
        <v>1998</v>
      </c>
      <c r="D1006" s="1">
        <v>1</v>
      </c>
      <c r="E1006" s="8" t="s">
        <v>122</v>
      </c>
    </row>
    <row r="1007" spans="1:5" x14ac:dyDescent="0.3">
      <c r="A1007" s="1">
        <v>1905</v>
      </c>
      <c r="B1007" s="3">
        <v>2007</v>
      </c>
      <c r="C1007" s="5">
        <v>2007</v>
      </c>
      <c r="D1007" s="1">
        <v>1</v>
      </c>
      <c r="E1007" s="8" t="s">
        <v>122</v>
      </c>
    </row>
    <row r="1008" spans="1:5" x14ac:dyDescent="0.3">
      <c r="A1008" s="1">
        <v>1822</v>
      </c>
      <c r="B1008" s="3">
        <v>2007</v>
      </c>
      <c r="C1008" s="5">
        <v>2007</v>
      </c>
      <c r="D1008" s="1">
        <v>1</v>
      </c>
      <c r="E1008" s="8" t="s">
        <v>130</v>
      </c>
    </row>
    <row r="1009" spans="1:5" x14ac:dyDescent="0.3">
      <c r="A1009" s="1">
        <v>2123</v>
      </c>
      <c r="B1009" s="3">
        <v>2017</v>
      </c>
      <c r="C1009" s="5">
        <v>2017</v>
      </c>
      <c r="D1009" s="1">
        <v>1</v>
      </c>
      <c r="E1009" s="8" t="s">
        <v>130</v>
      </c>
    </row>
    <row r="1010" spans="1:5" x14ac:dyDescent="0.3">
      <c r="A1010" s="1">
        <v>2071</v>
      </c>
      <c r="B1010" s="3">
        <v>2018</v>
      </c>
      <c r="C1010" s="5">
        <v>2018</v>
      </c>
      <c r="D1010" s="1">
        <v>1</v>
      </c>
      <c r="E1010" s="8" t="s">
        <v>130</v>
      </c>
    </row>
    <row r="1011" spans="1:5" x14ac:dyDescent="0.3">
      <c r="A1011" s="1">
        <v>1134</v>
      </c>
      <c r="B1011" s="3">
        <v>1990</v>
      </c>
      <c r="C1011" s="5">
        <v>2014</v>
      </c>
      <c r="D1011" s="1">
        <v>16</v>
      </c>
      <c r="E1011" s="8" t="s">
        <v>6</v>
      </c>
    </row>
    <row r="1012" spans="1:5" x14ac:dyDescent="0.3">
      <c r="A1012" s="1">
        <v>1476</v>
      </c>
      <c r="B1012" s="3">
        <v>1990</v>
      </c>
      <c r="C1012" s="5">
        <v>2014</v>
      </c>
      <c r="D1012" s="1">
        <v>14</v>
      </c>
      <c r="E1012" s="8" t="s">
        <v>6</v>
      </c>
    </row>
    <row r="1013" spans="1:5" x14ac:dyDescent="0.3">
      <c r="A1013" s="1">
        <v>1836</v>
      </c>
      <c r="B1013" s="3">
        <v>1990</v>
      </c>
      <c r="C1013" s="5">
        <v>2015</v>
      </c>
      <c r="D1013" s="1">
        <v>7</v>
      </c>
      <c r="E1013" s="8" t="s">
        <v>6</v>
      </c>
    </row>
    <row r="1014" spans="1:5" x14ac:dyDescent="0.3">
      <c r="A1014" s="1">
        <v>1775</v>
      </c>
      <c r="B1014" s="3">
        <v>1990</v>
      </c>
      <c r="C1014" s="5">
        <v>2017</v>
      </c>
      <c r="D1014" s="1">
        <v>7</v>
      </c>
      <c r="E1014" s="8" t="s">
        <v>6</v>
      </c>
    </row>
    <row r="1015" spans="1:5" x14ac:dyDescent="0.3">
      <c r="A1015" s="1">
        <v>1544</v>
      </c>
      <c r="B1015" s="3">
        <v>1991</v>
      </c>
      <c r="C1015" s="5">
        <v>2012</v>
      </c>
      <c r="D1015" s="1">
        <v>4</v>
      </c>
      <c r="E1015" s="8" t="s">
        <v>6</v>
      </c>
    </row>
    <row r="1016" spans="1:5" x14ac:dyDescent="0.3">
      <c r="A1016" s="1">
        <v>1242</v>
      </c>
      <c r="B1016" s="3">
        <v>1991</v>
      </c>
      <c r="C1016" s="5">
        <v>2016</v>
      </c>
      <c r="D1016" s="1">
        <v>26</v>
      </c>
      <c r="E1016" s="8" t="s">
        <v>6</v>
      </c>
    </row>
    <row r="1017" spans="1:5" x14ac:dyDescent="0.3">
      <c r="A1017" s="1">
        <v>1518</v>
      </c>
      <c r="B1017" s="3">
        <v>1993</v>
      </c>
      <c r="C1017" s="5">
        <v>2015</v>
      </c>
      <c r="D1017" s="1">
        <v>16</v>
      </c>
      <c r="E1017" s="8" t="s">
        <v>6</v>
      </c>
    </row>
    <row r="1018" spans="1:5" x14ac:dyDescent="0.3">
      <c r="A1018" s="1">
        <v>1133</v>
      </c>
      <c r="B1018" s="3">
        <v>1995</v>
      </c>
      <c r="C1018" s="5">
        <v>2017</v>
      </c>
      <c r="D1018" s="1">
        <v>23</v>
      </c>
      <c r="E1018" s="8" t="s">
        <v>6</v>
      </c>
    </row>
    <row r="1019" spans="1:5" x14ac:dyDescent="0.3">
      <c r="A1019" s="1">
        <v>1136</v>
      </c>
      <c r="B1019" s="3">
        <v>1995</v>
      </c>
      <c r="C1019" s="5">
        <v>2017</v>
      </c>
      <c r="D1019" s="1">
        <v>11</v>
      </c>
      <c r="E1019" s="8" t="s">
        <v>6</v>
      </c>
    </row>
    <row r="1020" spans="1:5" x14ac:dyDescent="0.3">
      <c r="A1020" s="1">
        <v>1538</v>
      </c>
      <c r="B1020" s="3">
        <v>1995</v>
      </c>
      <c r="C1020" s="5">
        <v>2017</v>
      </c>
      <c r="D1020" s="1">
        <v>12</v>
      </c>
      <c r="E1020" s="8" t="s">
        <v>6</v>
      </c>
    </row>
    <row r="1021" spans="1:5" x14ac:dyDescent="0.3">
      <c r="A1021" s="1">
        <v>1523</v>
      </c>
      <c r="B1021" s="3">
        <v>1996</v>
      </c>
      <c r="C1021" s="5">
        <v>2015</v>
      </c>
      <c r="D1021" s="1">
        <v>9</v>
      </c>
      <c r="E1021" s="8" t="s">
        <v>6</v>
      </c>
    </row>
    <row r="1022" spans="1:5" x14ac:dyDescent="0.3">
      <c r="A1022" s="1">
        <v>1857</v>
      </c>
      <c r="B1022" s="3">
        <v>2007</v>
      </c>
      <c r="C1022" s="5">
        <v>2007</v>
      </c>
      <c r="D1022" s="1">
        <v>1</v>
      </c>
      <c r="E1022" s="8" t="s">
        <v>6</v>
      </c>
    </row>
    <row r="1023" spans="1:5" x14ac:dyDescent="0.3">
      <c r="A1023" s="1">
        <v>1882</v>
      </c>
      <c r="B1023" s="3">
        <v>2007</v>
      </c>
      <c r="C1023" s="5">
        <v>2007</v>
      </c>
      <c r="D1023" s="1">
        <v>1</v>
      </c>
      <c r="E1023" s="8" t="s">
        <v>6</v>
      </c>
    </row>
    <row r="1024" spans="1:5" x14ac:dyDescent="0.3">
      <c r="A1024" s="1">
        <v>1893</v>
      </c>
      <c r="B1024" s="3">
        <v>2007</v>
      </c>
      <c r="C1024" s="5">
        <v>2007</v>
      </c>
      <c r="D1024" s="1">
        <v>1</v>
      </c>
      <c r="E1024" s="8" t="s">
        <v>6</v>
      </c>
    </row>
    <row r="1025" spans="1:5" x14ac:dyDescent="0.3">
      <c r="A1025" s="1">
        <v>1906</v>
      </c>
      <c r="B1025" s="3">
        <v>2007</v>
      </c>
      <c r="C1025" s="5">
        <v>2007</v>
      </c>
      <c r="D1025" s="1">
        <v>1</v>
      </c>
      <c r="E1025" s="8" t="s">
        <v>6</v>
      </c>
    </row>
    <row r="1026" spans="1:5" x14ac:dyDescent="0.3">
      <c r="A1026" s="1">
        <v>1531</v>
      </c>
      <c r="B1026" s="3">
        <v>2007</v>
      </c>
      <c r="C1026" s="5">
        <v>2008</v>
      </c>
      <c r="D1026" s="1">
        <v>2</v>
      </c>
      <c r="E1026" s="8" t="s">
        <v>6</v>
      </c>
    </row>
    <row r="1027" spans="1:5" x14ac:dyDescent="0.3">
      <c r="A1027" s="1">
        <v>1263</v>
      </c>
      <c r="B1027" s="3">
        <v>2007</v>
      </c>
      <c r="C1027" s="5">
        <v>2011</v>
      </c>
      <c r="D1027" s="1">
        <v>5</v>
      </c>
      <c r="E1027" s="8" t="s">
        <v>6</v>
      </c>
    </row>
    <row r="1028" spans="1:5" x14ac:dyDescent="0.3">
      <c r="A1028" s="1">
        <v>1522</v>
      </c>
      <c r="B1028" s="3">
        <v>2007</v>
      </c>
      <c r="C1028" s="5">
        <v>2015</v>
      </c>
      <c r="D1028" s="1">
        <v>3</v>
      </c>
      <c r="E1028" s="8" t="s">
        <v>6</v>
      </c>
    </row>
    <row r="1029" spans="1:5" x14ac:dyDescent="0.3">
      <c r="A1029" s="1">
        <v>1006</v>
      </c>
      <c r="B1029" s="3">
        <v>2008</v>
      </c>
      <c r="C1029" s="5">
        <v>2008</v>
      </c>
      <c r="D1029" s="1">
        <v>1</v>
      </c>
      <c r="E1029" s="8" t="s">
        <v>6</v>
      </c>
    </row>
    <row r="1030" spans="1:5" x14ac:dyDescent="0.3">
      <c r="A1030" s="1">
        <v>1525</v>
      </c>
      <c r="B1030" s="3">
        <v>2008</v>
      </c>
      <c r="C1030" s="5">
        <v>2008</v>
      </c>
      <c r="D1030" s="1">
        <v>1</v>
      </c>
      <c r="E1030" s="8" t="s">
        <v>6</v>
      </c>
    </row>
    <row r="1031" spans="1:5" x14ac:dyDescent="0.3">
      <c r="A1031" s="1">
        <v>1533</v>
      </c>
      <c r="B1031" s="3">
        <v>2008</v>
      </c>
      <c r="C1031" s="5">
        <v>2008</v>
      </c>
      <c r="D1031" s="1">
        <v>1</v>
      </c>
      <c r="E1031" s="8" t="s">
        <v>6</v>
      </c>
    </row>
    <row r="1032" spans="1:5" x14ac:dyDescent="0.3">
      <c r="A1032" s="1">
        <v>1540</v>
      </c>
      <c r="B1032" s="3">
        <v>2008</v>
      </c>
      <c r="C1032" s="5">
        <v>2008</v>
      </c>
      <c r="D1032" s="1">
        <v>1</v>
      </c>
      <c r="E1032" s="8" t="s">
        <v>6</v>
      </c>
    </row>
    <row r="1033" spans="1:5" x14ac:dyDescent="0.3">
      <c r="A1033" s="1">
        <v>1519</v>
      </c>
      <c r="B1033" s="3">
        <v>2008</v>
      </c>
      <c r="C1033" s="5">
        <v>2014</v>
      </c>
      <c r="D1033" s="1">
        <v>7</v>
      </c>
      <c r="E1033" s="8" t="s">
        <v>6</v>
      </c>
    </row>
    <row r="1034" spans="1:5" x14ac:dyDescent="0.3">
      <c r="A1034" s="1">
        <v>1536</v>
      </c>
      <c r="B1034" s="3">
        <v>2008</v>
      </c>
      <c r="C1034" s="5">
        <v>2015</v>
      </c>
      <c r="D1034" s="1">
        <v>3</v>
      </c>
      <c r="E1034" s="8" t="s">
        <v>6</v>
      </c>
    </row>
    <row r="1035" spans="1:5" x14ac:dyDescent="0.3">
      <c r="A1035" s="1">
        <v>1543</v>
      </c>
      <c r="B1035" s="3">
        <v>2008</v>
      </c>
      <c r="C1035" s="5">
        <v>2016</v>
      </c>
      <c r="D1035" s="1">
        <v>6</v>
      </c>
      <c r="E1035" s="8" t="s">
        <v>6</v>
      </c>
    </row>
    <row r="1036" spans="1:5" x14ac:dyDescent="0.3">
      <c r="A1036" s="1">
        <v>1766</v>
      </c>
      <c r="B1036" s="3">
        <v>2008</v>
      </c>
      <c r="C1036" s="5">
        <v>2016</v>
      </c>
      <c r="D1036" s="1">
        <v>13</v>
      </c>
      <c r="E1036" s="8" t="s">
        <v>6</v>
      </c>
    </row>
    <row r="1037" spans="1:5" x14ac:dyDescent="0.3">
      <c r="A1037" s="1">
        <v>1064</v>
      </c>
      <c r="B1037" s="3">
        <v>2010</v>
      </c>
      <c r="C1037" s="5">
        <v>2010</v>
      </c>
      <c r="D1037" s="1">
        <v>1</v>
      </c>
      <c r="E1037" s="8" t="s">
        <v>6</v>
      </c>
    </row>
    <row r="1038" spans="1:5" x14ac:dyDescent="0.3">
      <c r="A1038" s="1">
        <v>1534</v>
      </c>
      <c r="B1038" s="3">
        <v>2012</v>
      </c>
      <c r="C1038" s="5">
        <v>2012</v>
      </c>
      <c r="D1038" s="1">
        <v>1</v>
      </c>
      <c r="E1038" s="8" t="s">
        <v>6</v>
      </c>
    </row>
    <row r="1039" spans="1:5" x14ac:dyDescent="0.3">
      <c r="A1039" s="1">
        <v>1521</v>
      </c>
      <c r="B1039" s="3">
        <v>2012</v>
      </c>
      <c r="C1039" s="5">
        <v>2015</v>
      </c>
      <c r="D1039" s="1">
        <v>4</v>
      </c>
      <c r="E1039" s="8" t="s">
        <v>98</v>
      </c>
    </row>
    <row r="1040" spans="1:5" x14ac:dyDescent="0.3">
      <c r="A1040" s="1">
        <v>1166</v>
      </c>
      <c r="B1040" s="3">
        <v>2014</v>
      </c>
      <c r="C1040" s="5">
        <v>2014</v>
      </c>
      <c r="D1040" s="1">
        <v>1</v>
      </c>
      <c r="E1040" s="8" t="s">
        <v>6</v>
      </c>
    </row>
    <row r="1041" spans="1:5" x14ac:dyDescent="0.3">
      <c r="A1041" s="1">
        <v>1776</v>
      </c>
      <c r="B1041" s="3">
        <v>2015</v>
      </c>
      <c r="C1041" s="5">
        <v>2015</v>
      </c>
      <c r="D1041" s="1">
        <v>1</v>
      </c>
      <c r="E1041" s="8" t="s">
        <v>6</v>
      </c>
    </row>
    <row r="1042" spans="1:5" x14ac:dyDescent="0.3">
      <c r="A1042" s="1">
        <v>1861</v>
      </c>
      <c r="B1042" s="3">
        <v>2015</v>
      </c>
      <c r="C1042" s="5">
        <v>2015</v>
      </c>
      <c r="D1042" s="1">
        <v>1</v>
      </c>
      <c r="E1042" s="8" t="s">
        <v>6</v>
      </c>
    </row>
    <row r="1043" spans="1:5" x14ac:dyDescent="0.3">
      <c r="A1043" s="1">
        <v>1774</v>
      </c>
      <c r="B1043" s="3">
        <v>2015</v>
      </c>
      <c r="C1043" s="5">
        <v>2017</v>
      </c>
      <c r="D1043" s="1">
        <v>4</v>
      </c>
      <c r="E1043" s="8" t="s">
        <v>6</v>
      </c>
    </row>
    <row r="1044" spans="1:5" x14ac:dyDescent="0.3">
      <c r="A1044" s="1">
        <v>1854</v>
      </c>
      <c r="B1044" s="3">
        <v>2015</v>
      </c>
      <c r="C1044" s="5">
        <v>2017</v>
      </c>
      <c r="D1044" s="1">
        <v>3</v>
      </c>
      <c r="E1044" s="8" t="s">
        <v>6</v>
      </c>
    </row>
    <row r="1045" spans="1:5" x14ac:dyDescent="0.3">
      <c r="A1045" s="1">
        <v>1548</v>
      </c>
      <c r="B1045" s="3">
        <v>2016</v>
      </c>
      <c r="C1045" s="5">
        <v>2016</v>
      </c>
      <c r="D1045" s="1">
        <v>2</v>
      </c>
      <c r="E1045" s="8" t="s">
        <v>6</v>
      </c>
    </row>
    <row r="1046" spans="1:5" x14ac:dyDescent="0.3">
      <c r="A1046" s="1">
        <v>2051</v>
      </c>
      <c r="B1046" s="3">
        <v>2016</v>
      </c>
      <c r="C1046" s="5">
        <v>2016</v>
      </c>
      <c r="D1046" s="1">
        <v>1</v>
      </c>
      <c r="E1046" s="8" t="s">
        <v>6</v>
      </c>
    </row>
    <row r="1047" spans="1:5" x14ac:dyDescent="0.3">
      <c r="A1047" s="1">
        <v>1819</v>
      </c>
      <c r="B1047" s="3">
        <v>2012</v>
      </c>
      <c r="C1047" s="5">
        <v>2012</v>
      </c>
      <c r="D1047" s="1">
        <v>1</v>
      </c>
      <c r="E1047" s="8" t="s">
        <v>114</v>
      </c>
    </row>
    <row r="1048" spans="1:5" x14ac:dyDescent="0.3">
      <c r="A1048" s="1">
        <v>1811</v>
      </c>
      <c r="B1048" s="3">
        <v>2015</v>
      </c>
      <c r="C1048" s="5">
        <v>2015</v>
      </c>
      <c r="D1048" s="1">
        <v>1</v>
      </c>
      <c r="E1048" s="11" t="s">
        <v>300</v>
      </c>
    </row>
    <row r="1049" spans="1:5" x14ac:dyDescent="0.3">
      <c r="A1049" s="1">
        <v>1553</v>
      </c>
      <c r="B1049" s="3">
        <v>2009</v>
      </c>
      <c r="C1049" s="5">
        <v>2017</v>
      </c>
      <c r="D1049" s="1">
        <v>2</v>
      </c>
      <c r="E1049" s="8" t="s">
        <v>101</v>
      </c>
    </row>
    <row r="1050" spans="1:5" x14ac:dyDescent="0.3">
      <c r="A1050" s="1">
        <v>1097</v>
      </c>
      <c r="B1050" s="3">
        <v>1994</v>
      </c>
      <c r="C1050" s="5">
        <v>2010</v>
      </c>
      <c r="D1050" s="1">
        <v>7</v>
      </c>
      <c r="E1050" s="8" t="s">
        <v>44</v>
      </c>
    </row>
    <row r="1051" spans="1:5" x14ac:dyDescent="0.3">
      <c r="A1051" s="1">
        <v>1556</v>
      </c>
      <c r="B1051" s="3">
        <v>2007</v>
      </c>
      <c r="C1051" s="5">
        <v>2008</v>
      </c>
      <c r="D1051" s="1">
        <v>2</v>
      </c>
      <c r="E1051" s="8" t="s">
        <v>44</v>
      </c>
    </row>
    <row r="1052" spans="1:5" x14ac:dyDescent="0.3">
      <c r="A1052" s="1">
        <v>1554</v>
      </c>
      <c r="B1052" s="3">
        <v>2012</v>
      </c>
      <c r="C1052" s="5">
        <v>2012</v>
      </c>
      <c r="D1052" s="1">
        <v>1</v>
      </c>
      <c r="E1052" s="8" t="s">
        <v>44</v>
      </c>
    </row>
    <row r="1053" spans="1:5" x14ac:dyDescent="0.3">
      <c r="A1053" s="1">
        <v>1561</v>
      </c>
      <c r="B1053" s="3">
        <v>2012</v>
      </c>
      <c r="C1053" s="5">
        <v>2017</v>
      </c>
      <c r="D1053" s="1">
        <v>7</v>
      </c>
      <c r="E1053" s="8" t="s">
        <v>44</v>
      </c>
    </row>
    <row r="1054" spans="1:5" x14ac:dyDescent="0.3">
      <c r="A1054" s="1">
        <v>1555</v>
      </c>
      <c r="B1054" s="3">
        <v>2014</v>
      </c>
      <c r="C1054" s="5">
        <v>2014</v>
      </c>
      <c r="D1054" s="1">
        <v>1</v>
      </c>
      <c r="E1054" s="8" t="s">
        <v>44</v>
      </c>
    </row>
    <row r="1055" spans="1:5" x14ac:dyDescent="0.3">
      <c r="A1055" s="1">
        <v>1830</v>
      </c>
      <c r="B1055" s="3">
        <v>2014</v>
      </c>
      <c r="C1055" s="5">
        <v>2014</v>
      </c>
      <c r="D1055" s="1">
        <v>1</v>
      </c>
      <c r="E1055" s="8" t="s">
        <v>44</v>
      </c>
    </row>
    <row r="1056" spans="1:5" x14ac:dyDescent="0.3">
      <c r="A1056" s="1">
        <v>2074</v>
      </c>
      <c r="B1056" s="3">
        <v>2018</v>
      </c>
      <c r="C1056" s="5">
        <v>2018</v>
      </c>
      <c r="D1056" s="1">
        <v>1</v>
      </c>
      <c r="E1056" s="8" t="s">
        <v>44</v>
      </c>
    </row>
    <row r="1057" spans="1:5" x14ac:dyDescent="0.3">
      <c r="A1057" s="1">
        <v>2211</v>
      </c>
      <c r="B1057" s="3">
        <v>1991</v>
      </c>
      <c r="C1057" s="5">
        <v>2007</v>
      </c>
      <c r="D1057" s="1">
        <v>2</v>
      </c>
      <c r="E1057" s="8" t="s">
        <v>102</v>
      </c>
    </row>
    <row r="1058" spans="1:5" x14ac:dyDescent="0.3">
      <c r="A1058" s="1">
        <v>1557</v>
      </c>
      <c r="B1058" s="3">
        <v>2013</v>
      </c>
      <c r="C1058" s="5">
        <v>2013</v>
      </c>
      <c r="D1058" s="1">
        <v>1</v>
      </c>
      <c r="E1058" s="8" t="s">
        <v>102</v>
      </c>
    </row>
    <row r="1059" spans="1:5" x14ac:dyDescent="0.3">
      <c r="A1059" s="1">
        <v>2064</v>
      </c>
      <c r="B1059" s="3">
        <v>2017</v>
      </c>
      <c r="C1059" s="5">
        <v>2017</v>
      </c>
      <c r="D1059" s="1">
        <v>2</v>
      </c>
      <c r="E1059" s="8" t="s">
        <v>102</v>
      </c>
    </row>
    <row r="1060" spans="1:5" x14ac:dyDescent="0.3">
      <c r="A1060" s="1">
        <v>2251</v>
      </c>
      <c r="B1060" s="3">
        <v>2017</v>
      </c>
      <c r="C1060" s="5">
        <v>2017</v>
      </c>
      <c r="D1060" s="1">
        <v>1</v>
      </c>
      <c r="E1060" s="8" t="s">
        <v>102</v>
      </c>
    </row>
    <row r="1061" spans="1:5" x14ac:dyDescent="0.3">
      <c r="A1061" s="1">
        <v>2259</v>
      </c>
      <c r="B1061" s="3">
        <v>2017</v>
      </c>
      <c r="C1061" s="5">
        <v>2017</v>
      </c>
      <c r="D1061" s="1">
        <v>1</v>
      </c>
      <c r="E1061" s="8" t="s">
        <v>102</v>
      </c>
    </row>
    <row r="1062" spans="1:5" x14ac:dyDescent="0.3">
      <c r="A1062" s="1">
        <v>2075</v>
      </c>
      <c r="B1062" s="3">
        <v>2018</v>
      </c>
      <c r="C1062" s="5">
        <v>2018</v>
      </c>
      <c r="D1062" s="1">
        <v>1</v>
      </c>
      <c r="E1062" s="8" t="s">
        <v>102</v>
      </c>
    </row>
    <row r="1063" spans="1:5" x14ac:dyDescent="0.3">
      <c r="A1063" s="1">
        <v>2082</v>
      </c>
      <c r="B1063" s="3">
        <v>2018</v>
      </c>
      <c r="C1063" s="5">
        <v>2018</v>
      </c>
      <c r="D1063" s="1">
        <v>1</v>
      </c>
      <c r="E1063" s="8" t="s">
        <v>102</v>
      </c>
    </row>
    <row r="1064" spans="1:5" x14ac:dyDescent="0.3">
      <c r="A1064" s="1">
        <v>2083</v>
      </c>
      <c r="B1064" s="3">
        <v>2018</v>
      </c>
      <c r="C1064" s="5">
        <v>2018</v>
      </c>
      <c r="D1064" s="1">
        <v>1</v>
      </c>
      <c r="E1064" s="8" t="s">
        <v>102</v>
      </c>
    </row>
    <row r="1065" spans="1:5" x14ac:dyDescent="0.3">
      <c r="A1065" s="1">
        <v>1004</v>
      </c>
      <c r="B1065" s="3">
        <v>1990</v>
      </c>
      <c r="C1065" s="5">
        <v>2008</v>
      </c>
      <c r="D1065" s="1">
        <v>12</v>
      </c>
      <c r="E1065" s="8" t="s">
        <v>5</v>
      </c>
    </row>
    <row r="1066" spans="1:5" x14ac:dyDescent="0.3">
      <c r="A1066" s="1">
        <v>1069</v>
      </c>
      <c r="B1066" s="3">
        <v>1990</v>
      </c>
      <c r="C1066" s="5">
        <v>2009</v>
      </c>
      <c r="D1066" s="1">
        <v>7</v>
      </c>
      <c r="E1066" s="8" t="s">
        <v>5</v>
      </c>
    </row>
    <row r="1067" spans="1:5" x14ac:dyDescent="0.3">
      <c r="A1067" s="1">
        <v>1915</v>
      </c>
      <c r="B1067" s="3">
        <v>1992</v>
      </c>
      <c r="C1067" s="5">
        <v>2007</v>
      </c>
      <c r="D1067" s="1">
        <v>6</v>
      </c>
      <c r="E1067" s="8" t="s">
        <v>5</v>
      </c>
    </row>
    <row r="1068" spans="1:5" x14ac:dyDescent="0.3">
      <c r="A1068" s="1">
        <v>2124</v>
      </c>
      <c r="B1068" s="3">
        <v>1992</v>
      </c>
      <c r="C1068" s="5">
        <v>1994</v>
      </c>
      <c r="D1068" s="1">
        <v>3</v>
      </c>
      <c r="E1068" s="8" t="s">
        <v>5</v>
      </c>
    </row>
    <row r="1069" spans="1:5" x14ac:dyDescent="0.3">
      <c r="A1069" s="1">
        <v>1820</v>
      </c>
      <c r="B1069" s="3">
        <v>1995</v>
      </c>
      <c r="C1069" s="5">
        <v>2007</v>
      </c>
      <c r="D1069" s="1">
        <v>4</v>
      </c>
      <c r="E1069" s="8" t="s">
        <v>5</v>
      </c>
    </row>
    <row r="1070" spans="1:5" x14ac:dyDescent="0.3">
      <c r="A1070" s="1">
        <v>1707</v>
      </c>
      <c r="B1070" s="3">
        <v>1995</v>
      </c>
      <c r="C1070" s="5">
        <v>2013</v>
      </c>
      <c r="D1070" s="1">
        <v>3</v>
      </c>
      <c r="E1070" s="8" t="s">
        <v>5</v>
      </c>
    </row>
    <row r="1071" spans="1:5" x14ac:dyDescent="0.3">
      <c r="A1071" s="1">
        <v>1706</v>
      </c>
      <c r="B1071" s="3">
        <v>1995</v>
      </c>
      <c r="C1071" s="5">
        <v>2015</v>
      </c>
      <c r="D1071" s="1">
        <v>12</v>
      </c>
      <c r="E1071" s="8" t="s">
        <v>5</v>
      </c>
    </row>
    <row r="1072" spans="1:5" x14ac:dyDescent="0.3">
      <c r="A1072" s="1">
        <v>1033</v>
      </c>
      <c r="B1072" s="3">
        <v>2007</v>
      </c>
      <c r="C1072" s="5">
        <v>2010</v>
      </c>
      <c r="D1072" s="1">
        <v>2</v>
      </c>
      <c r="E1072" s="8" t="s">
        <v>5</v>
      </c>
    </row>
    <row r="1073" spans="1:5" x14ac:dyDescent="0.3">
      <c r="A1073" s="1">
        <v>1385</v>
      </c>
      <c r="B1073" s="3">
        <v>2014</v>
      </c>
      <c r="C1073" s="5">
        <v>2017</v>
      </c>
      <c r="D1073" s="1">
        <v>4</v>
      </c>
      <c r="E1073" s="8" t="s">
        <v>5</v>
      </c>
    </row>
    <row r="1074" spans="1:5" x14ac:dyDescent="0.3">
      <c r="A1074" s="1">
        <v>1997</v>
      </c>
      <c r="B1074" s="3">
        <v>2016</v>
      </c>
      <c r="C1074" s="5">
        <v>2016</v>
      </c>
      <c r="D1074" s="1">
        <v>2</v>
      </c>
      <c r="E1074" s="8" t="s">
        <v>5</v>
      </c>
    </row>
    <row r="1075" spans="1:5" x14ac:dyDescent="0.3">
      <c r="A1075" s="1">
        <v>2033</v>
      </c>
      <c r="B1075" s="3">
        <v>2016</v>
      </c>
      <c r="C1075" s="5">
        <v>2017</v>
      </c>
      <c r="D1075" s="1">
        <v>2</v>
      </c>
      <c r="E1075" s="8" t="s">
        <v>5</v>
      </c>
    </row>
    <row r="1076" spans="1:5" x14ac:dyDescent="0.3">
      <c r="A1076" s="1">
        <v>1075</v>
      </c>
      <c r="B1076" s="3">
        <v>1990</v>
      </c>
      <c r="C1076" s="5">
        <v>2009</v>
      </c>
      <c r="D1076" s="1">
        <v>11</v>
      </c>
      <c r="E1076" s="8" t="s">
        <v>20</v>
      </c>
    </row>
    <row r="1077" spans="1:5" x14ac:dyDescent="0.3">
      <c r="A1077" s="1">
        <v>1028</v>
      </c>
      <c r="B1077" s="3">
        <v>1990</v>
      </c>
      <c r="C1077" s="5">
        <v>2010</v>
      </c>
      <c r="D1077" s="1">
        <v>12</v>
      </c>
      <c r="E1077" s="8" t="s">
        <v>20</v>
      </c>
    </row>
    <row r="1078" spans="1:5" x14ac:dyDescent="0.3">
      <c r="A1078" s="1">
        <v>1073</v>
      </c>
      <c r="B1078" s="3">
        <v>1990</v>
      </c>
      <c r="C1078" s="5">
        <v>2017</v>
      </c>
      <c r="D1078" s="1">
        <v>7</v>
      </c>
      <c r="E1078" s="8" t="s">
        <v>20</v>
      </c>
    </row>
    <row r="1079" spans="1:5" x14ac:dyDescent="0.3">
      <c r="A1079" s="1">
        <v>1076</v>
      </c>
      <c r="B1079" s="3">
        <v>1992</v>
      </c>
      <c r="C1079" s="5">
        <v>2011</v>
      </c>
      <c r="D1079" s="1">
        <v>10</v>
      </c>
      <c r="E1079" s="8" t="s">
        <v>20</v>
      </c>
    </row>
    <row r="1080" spans="1:5" x14ac:dyDescent="0.3">
      <c r="A1080" s="1">
        <v>1377</v>
      </c>
      <c r="B1080" s="3">
        <v>1992</v>
      </c>
      <c r="C1080" s="5">
        <v>2016</v>
      </c>
      <c r="D1080" s="1">
        <v>15</v>
      </c>
      <c r="E1080" s="8" t="s">
        <v>20</v>
      </c>
    </row>
    <row r="1081" spans="1:5" x14ac:dyDescent="0.3">
      <c r="A1081" s="1">
        <v>1042</v>
      </c>
      <c r="B1081" s="3">
        <v>1998</v>
      </c>
      <c r="C1081" s="5">
        <v>2011</v>
      </c>
      <c r="D1081" s="1">
        <v>5</v>
      </c>
      <c r="E1081" s="8" t="s">
        <v>20</v>
      </c>
    </row>
    <row r="1082" spans="1:5" x14ac:dyDescent="0.3">
      <c r="A1082" s="1">
        <v>1607</v>
      </c>
      <c r="B1082" s="3">
        <v>2007</v>
      </c>
      <c r="C1082" s="5">
        <v>2014</v>
      </c>
      <c r="D1082" s="1">
        <v>6</v>
      </c>
      <c r="E1082" s="8" t="s">
        <v>20</v>
      </c>
    </row>
    <row r="1083" spans="1:5" x14ac:dyDescent="0.3">
      <c r="A1083" s="1">
        <v>1201</v>
      </c>
      <c r="B1083" s="3">
        <v>2007</v>
      </c>
      <c r="C1083" s="5">
        <v>2015</v>
      </c>
      <c r="D1083" s="1">
        <v>7</v>
      </c>
      <c r="E1083" s="8" t="s">
        <v>20</v>
      </c>
    </row>
    <row r="1084" spans="1:5" x14ac:dyDescent="0.3">
      <c r="A1084" s="1">
        <v>1353</v>
      </c>
      <c r="B1084" s="3">
        <v>2007</v>
      </c>
      <c r="C1084" s="5">
        <v>2016</v>
      </c>
      <c r="D1084" s="1">
        <v>3</v>
      </c>
      <c r="E1084" s="8" t="s">
        <v>20</v>
      </c>
    </row>
    <row r="1085" spans="1:5" x14ac:dyDescent="0.3">
      <c r="A1085" s="1">
        <v>1376</v>
      </c>
      <c r="B1085" s="3">
        <v>2008</v>
      </c>
      <c r="C1085" s="5">
        <v>2008</v>
      </c>
      <c r="D1085" s="1">
        <v>1</v>
      </c>
      <c r="E1085" s="8" t="s">
        <v>20</v>
      </c>
    </row>
    <row r="1086" spans="1:5" x14ac:dyDescent="0.3">
      <c r="A1086" s="1">
        <v>1035</v>
      </c>
      <c r="B1086" s="3">
        <v>2008</v>
      </c>
      <c r="C1086" s="5">
        <v>2012</v>
      </c>
      <c r="D1086" s="1">
        <v>3</v>
      </c>
      <c r="E1086" s="8" t="s">
        <v>20</v>
      </c>
    </row>
    <row r="1087" spans="1:5" x14ac:dyDescent="0.3">
      <c r="A1087" s="1">
        <v>1592</v>
      </c>
      <c r="B1087" s="3">
        <v>2010</v>
      </c>
      <c r="C1087" s="5">
        <v>2015</v>
      </c>
      <c r="D1087" s="1">
        <v>5</v>
      </c>
      <c r="E1087" s="8" t="s">
        <v>20</v>
      </c>
    </row>
    <row r="1088" spans="1:5" x14ac:dyDescent="0.3">
      <c r="A1088" s="1">
        <v>1587</v>
      </c>
      <c r="B1088" s="3">
        <v>2014</v>
      </c>
      <c r="C1088" s="5">
        <v>2014</v>
      </c>
      <c r="D1088" s="1">
        <v>1</v>
      </c>
      <c r="E1088" s="8" t="s">
        <v>20</v>
      </c>
    </row>
    <row r="1089" spans="1:5" x14ac:dyDescent="0.3">
      <c r="A1089" s="1">
        <v>1424</v>
      </c>
      <c r="B1089" s="3">
        <v>2014</v>
      </c>
      <c r="C1089" s="5">
        <v>2017</v>
      </c>
      <c r="D1089" s="1">
        <v>3</v>
      </c>
      <c r="E1089" s="8" t="s">
        <v>20</v>
      </c>
    </row>
    <row r="1090" spans="1:5" x14ac:dyDescent="0.3">
      <c r="A1090" s="1">
        <v>1909</v>
      </c>
      <c r="B1090" s="3">
        <v>2015</v>
      </c>
      <c r="C1090" s="5">
        <v>2015</v>
      </c>
      <c r="D1090" s="1">
        <v>1</v>
      </c>
      <c r="E1090" s="8" t="s">
        <v>20</v>
      </c>
    </row>
    <row r="1091" spans="1:5" x14ac:dyDescent="0.3">
      <c r="A1091" s="1">
        <v>1949</v>
      </c>
      <c r="B1091" s="3">
        <v>2015</v>
      </c>
      <c r="C1091" s="5">
        <v>2016</v>
      </c>
      <c r="D1091" s="1">
        <v>2</v>
      </c>
      <c r="E1091" s="8" t="s">
        <v>20</v>
      </c>
    </row>
    <row r="1092" spans="1:5" x14ac:dyDescent="0.3">
      <c r="A1092" s="1">
        <v>1985</v>
      </c>
      <c r="B1092" s="3">
        <v>2016</v>
      </c>
      <c r="C1092" s="5">
        <v>2016</v>
      </c>
      <c r="D1092" s="1">
        <v>1</v>
      </c>
      <c r="E1092" s="8" t="s">
        <v>20</v>
      </c>
    </row>
    <row r="1093" spans="1:5" x14ac:dyDescent="0.3">
      <c r="A1093" s="1">
        <v>1998</v>
      </c>
      <c r="B1093" s="3">
        <v>2016</v>
      </c>
      <c r="C1093" s="5">
        <v>2016</v>
      </c>
      <c r="D1093" s="1">
        <v>1</v>
      </c>
      <c r="E1093" s="8" t="s">
        <v>20</v>
      </c>
    </row>
    <row r="1094" spans="1:5" x14ac:dyDescent="0.3">
      <c r="A1094" s="1">
        <v>1426</v>
      </c>
      <c r="B1094" s="3">
        <v>2011</v>
      </c>
      <c r="C1094" s="5">
        <v>2015</v>
      </c>
      <c r="D1094" s="1">
        <v>4</v>
      </c>
      <c r="E1094" s="8" t="s">
        <v>20</v>
      </c>
    </row>
    <row r="1095" spans="1:5" x14ac:dyDescent="0.3">
      <c r="A1095" s="1">
        <v>1275</v>
      </c>
      <c r="B1095" s="3">
        <v>2009</v>
      </c>
      <c r="C1095" s="5">
        <v>2015</v>
      </c>
      <c r="D1095" s="1">
        <v>7</v>
      </c>
      <c r="E1095" s="8" t="s">
        <v>74</v>
      </c>
    </row>
    <row r="1096" spans="1:5" x14ac:dyDescent="0.3">
      <c r="A1096" s="1">
        <v>2010</v>
      </c>
      <c r="B1096" s="3">
        <v>2016</v>
      </c>
      <c r="C1096" s="5">
        <v>2016</v>
      </c>
      <c r="D1096" s="1">
        <v>1</v>
      </c>
      <c r="E1096" s="8" t="s">
        <v>74</v>
      </c>
    </row>
    <row r="1097" spans="1:5" x14ac:dyDescent="0.3">
      <c r="A1097" s="1">
        <v>1925</v>
      </c>
      <c r="B1097" s="3">
        <v>1995</v>
      </c>
      <c r="C1097" s="5">
        <v>2015</v>
      </c>
      <c r="D1097" s="1">
        <v>3</v>
      </c>
      <c r="E1097" s="8" t="s">
        <v>34</v>
      </c>
    </row>
    <row r="1098" spans="1:5" x14ac:dyDescent="0.3">
      <c r="A1098" s="1">
        <v>2148</v>
      </c>
      <c r="B1098" s="3">
        <v>1995</v>
      </c>
      <c r="C1098" s="5">
        <v>1996</v>
      </c>
      <c r="D1098" s="1">
        <v>2</v>
      </c>
      <c r="E1098" s="8" t="s">
        <v>34</v>
      </c>
    </row>
    <row r="1099" spans="1:5" x14ac:dyDescent="0.3">
      <c r="A1099" s="1">
        <v>1119</v>
      </c>
      <c r="B1099" s="3">
        <v>1998</v>
      </c>
      <c r="C1099" s="5">
        <v>2010</v>
      </c>
      <c r="D1099" s="1">
        <v>2</v>
      </c>
      <c r="E1099" s="8" t="s">
        <v>34</v>
      </c>
    </row>
    <row r="1100" spans="1:5" x14ac:dyDescent="0.3">
      <c r="A1100" s="1">
        <v>1736</v>
      </c>
      <c r="B1100" s="3">
        <v>1998</v>
      </c>
      <c r="C1100" s="5">
        <v>2016</v>
      </c>
      <c r="D1100" s="1">
        <v>9</v>
      </c>
      <c r="E1100" s="8" t="s">
        <v>34</v>
      </c>
    </row>
    <row r="1101" spans="1:5" x14ac:dyDescent="0.3">
      <c r="A1101" s="1">
        <v>1839</v>
      </c>
      <c r="B1101" s="3">
        <v>2007</v>
      </c>
      <c r="C1101" s="5">
        <v>2007</v>
      </c>
      <c r="D1101" s="1">
        <v>1</v>
      </c>
      <c r="E1101" s="8" t="s">
        <v>34</v>
      </c>
    </row>
    <row r="1102" spans="1:5" x14ac:dyDescent="0.3">
      <c r="A1102" s="1">
        <v>1301</v>
      </c>
      <c r="B1102" s="3">
        <v>2008</v>
      </c>
      <c r="C1102" s="5">
        <v>2015</v>
      </c>
      <c r="D1102" s="1">
        <v>5</v>
      </c>
      <c r="E1102" s="8" t="s">
        <v>34</v>
      </c>
    </row>
    <row r="1103" spans="1:5" x14ac:dyDescent="0.3">
      <c r="A1103" s="1">
        <v>1639</v>
      </c>
      <c r="B1103" s="3">
        <v>2008</v>
      </c>
      <c r="C1103" s="5">
        <v>2016</v>
      </c>
      <c r="D1103" s="1">
        <v>4</v>
      </c>
      <c r="E1103" s="8" t="s">
        <v>34</v>
      </c>
    </row>
    <row r="1104" spans="1:5" x14ac:dyDescent="0.3">
      <c r="A1104" s="1">
        <v>1057</v>
      </c>
      <c r="B1104" s="3">
        <v>2009</v>
      </c>
      <c r="C1104" s="5">
        <v>2015</v>
      </c>
      <c r="D1104" s="1">
        <v>4</v>
      </c>
      <c r="E1104" s="8" t="s">
        <v>34</v>
      </c>
    </row>
    <row r="1105" spans="1:5" x14ac:dyDescent="0.3">
      <c r="A1105" s="1">
        <v>1637</v>
      </c>
      <c r="B1105" s="3">
        <v>2009</v>
      </c>
      <c r="C1105" s="5">
        <v>2015</v>
      </c>
      <c r="D1105" s="1">
        <v>5</v>
      </c>
      <c r="E1105" s="8" t="s">
        <v>34</v>
      </c>
    </row>
    <row r="1106" spans="1:5" x14ac:dyDescent="0.3">
      <c r="A1106" s="1">
        <v>1299</v>
      </c>
      <c r="B1106" s="3">
        <v>2009</v>
      </c>
      <c r="C1106" s="5">
        <v>2017</v>
      </c>
      <c r="D1106" s="1">
        <v>10</v>
      </c>
      <c r="E1106" s="8" t="s">
        <v>34</v>
      </c>
    </row>
    <row r="1107" spans="1:5" x14ac:dyDescent="0.3">
      <c r="A1107" s="1">
        <v>1640</v>
      </c>
      <c r="B1107" s="3">
        <v>2013</v>
      </c>
      <c r="C1107" s="5">
        <v>2013</v>
      </c>
      <c r="D1107" s="1">
        <v>1</v>
      </c>
      <c r="E1107" s="8" t="s">
        <v>34</v>
      </c>
    </row>
    <row r="1108" spans="1:5" x14ac:dyDescent="0.3">
      <c r="A1108" s="1">
        <v>1300</v>
      </c>
      <c r="B1108" s="3">
        <v>2013</v>
      </c>
      <c r="C1108" s="5">
        <v>2014</v>
      </c>
      <c r="D1108" s="1">
        <v>2</v>
      </c>
      <c r="E1108" s="8" t="s">
        <v>34</v>
      </c>
    </row>
    <row r="1109" spans="1:5" x14ac:dyDescent="0.3">
      <c r="A1109" s="1">
        <v>1642</v>
      </c>
      <c r="B1109" s="3">
        <v>2013</v>
      </c>
      <c r="C1109" s="5">
        <v>2017</v>
      </c>
      <c r="D1109" s="1">
        <v>6</v>
      </c>
      <c r="E1109" s="8" t="s">
        <v>34</v>
      </c>
    </row>
    <row r="1110" spans="1:5" x14ac:dyDescent="0.3">
      <c r="A1110" s="1">
        <v>1638</v>
      </c>
      <c r="B1110" s="3">
        <v>2014</v>
      </c>
      <c r="C1110" s="5">
        <v>2016</v>
      </c>
      <c r="D1110" s="1">
        <v>2</v>
      </c>
      <c r="E1110" s="8" t="s">
        <v>34</v>
      </c>
    </row>
    <row r="1111" spans="1:5" x14ac:dyDescent="0.3">
      <c r="A1111" s="1">
        <v>1932</v>
      </c>
      <c r="B1111" s="3">
        <v>2015</v>
      </c>
      <c r="C1111" s="5">
        <v>2015</v>
      </c>
      <c r="D1111" s="1">
        <v>1</v>
      </c>
      <c r="E1111" s="8" t="s">
        <v>34</v>
      </c>
    </row>
    <row r="1112" spans="1:5" x14ac:dyDescent="0.3">
      <c r="A1112" s="1">
        <v>2042</v>
      </c>
      <c r="B1112" s="3">
        <v>2016</v>
      </c>
      <c r="C1112" s="5">
        <v>2017</v>
      </c>
      <c r="D1112" s="1">
        <v>2</v>
      </c>
      <c r="E1112" s="8" t="s">
        <v>34</v>
      </c>
    </row>
    <row r="1113" spans="1:5" x14ac:dyDescent="0.3">
      <c r="A1113" s="1">
        <v>2119</v>
      </c>
      <c r="B1113" s="3">
        <v>2017</v>
      </c>
      <c r="C1113" s="5">
        <v>2017</v>
      </c>
      <c r="D1113" s="1">
        <v>1</v>
      </c>
      <c r="E1113" s="8" t="s">
        <v>34</v>
      </c>
    </row>
    <row r="1114" spans="1:5" x14ac:dyDescent="0.3">
      <c r="A1114" s="1">
        <v>2150</v>
      </c>
      <c r="B1114" s="3">
        <v>2017</v>
      </c>
      <c r="C1114" s="5">
        <v>2017</v>
      </c>
      <c r="D1114" s="1">
        <v>1</v>
      </c>
      <c r="E1114" s="8" t="s">
        <v>34</v>
      </c>
    </row>
    <row r="1115" spans="1:5" x14ac:dyDescent="0.3">
      <c r="A1115" s="1">
        <v>2215</v>
      </c>
      <c r="B1115" s="3">
        <v>2006</v>
      </c>
      <c r="C1115" s="5">
        <v>2006</v>
      </c>
      <c r="D1115" s="1">
        <v>1</v>
      </c>
      <c r="E1115" s="8" t="s">
        <v>86</v>
      </c>
    </row>
    <row r="1116" spans="1:5" x14ac:dyDescent="0.3">
      <c r="A1116" s="1">
        <v>1365</v>
      </c>
      <c r="B1116" s="3">
        <v>2010</v>
      </c>
      <c r="C1116" s="5">
        <v>2013</v>
      </c>
      <c r="D1116" s="1">
        <v>5</v>
      </c>
      <c r="E1116" s="8" t="s">
        <v>86</v>
      </c>
    </row>
    <row r="1117" spans="1:5" x14ac:dyDescent="0.3">
      <c r="A1117" s="1">
        <v>1369</v>
      </c>
      <c r="B1117" s="3">
        <v>2014</v>
      </c>
      <c r="C1117" s="5">
        <v>2014</v>
      </c>
      <c r="D1117" s="1">
        <v>1</v>
      </c>
      <c r="E1117" s="8" t="s">
        <v>86</v>
      </c>
    </row>
    <row r="1118" spans="1:5" x14ac:dyDescent="0.3">
      <c r="A1118" s="1">
        <v>1453</v>
      </c>
      <c r="B1118" s="3">
        <v>2014</v>
      </c>
      <c r="C1118" s="5">
        <v>2014</v>
      </c>
      <c r="D1118" s="1">
        <v>1</v>
      </c>
      <c r="E1118" s="8" t="s">
        <v>86</v>
      </c>
    </row>
    <row r="1119" spans="1:5" x14ac:dyDescent="0.3">
      <c r="A1119" s="1">
        <v>2246</v>
      </c>
      <c r="B1119" s="3">
        <v>1981</v>
      </c>
      <c r="C1119" s="5">
        <v>1998</v>
      </c>
      <c r="D1119" s="1">
        <v>8</v>
      </c>
      <c r="E1119" s="8" t="s">
        <v>4</v>
      </c>
    </row>
    <row r="1120" spans="1:5" x14ac:dyDescent="0.3">
      <c r="A1120" s="1">
        <v>1661</v>
      </c>
      <c r="B1120" s="3">
        <v>1982</v>
      </c>
      <c r="C1120" s="5">
        <v>2015</v>
      </c>
      <c r="D1120" s="1">
        <v>28</v>
      </c>
      <c r="E1120" s="8" t="s">
        <v>4</v>
      </c>
    </row>
    <row r="1121" spans="1:5" x14ac:dyDescent="0.3">
      <c r="A1121" s="1">
        <v>1671</v>
      </c>
      <c r="B1121" s="3">
        <v>1983</v>
      </c>
      <c r="C1121" s="5">
        <v>2009</v>
      </c>
      <c r="D1121" s="1">
        <v>8</v>
      </c>
      <c r="E1121" s="8" t="s">
        <v>4</v>
      </c>
    </row>
    <row r="1122" spans="1:5" x14ac:dyDescent="0.3">
      <c r="A1122" s="1">
        <v>1683</v>
      </c>
      <c r="B1122" s="3">
        <v>1984</v>
      </c>
      <c r="C1122" s="5">
        <v>2017</v>
      </c>
      <c r="D1122" s="1">
        <v>28</v>
      </c>
      <c r="E1122" s="8" t="s">
        <v>4</v>
      </c>
    </row>
    <row r="1123" spans="1:5" x14ac:dyDescent="0.3">
      <c r="A1123" s="1">
        <v>1155</v>
      </c>
      <c r="B1123" s="3">
        <v>1987</v>
      </c>
      <c r="C1123" s="5">
        <v>2016</v>
      </c>
      <c r="D1123" s="1">
        <v>23</v>
      </c>
      <c r="E1123" s="8" t="s">
        <v>4</v>
      </c>
    </row>
    <row r="1124" spans="1:5" x14ac:dyDescent="0.3">
      <c r="A1124" s="1">
        <v>1330</v>
      </c>
      <c r="B1124" s="3">
        <v>1990</v>
      </c>
      <c r="C1124" s="5">
        <v>2010</v>
      </c>
      <c r="D1124" s="1">
        <v>15</v>
      </c>
      <c r="E1124" s="8" t="s">
        <v>4</v>
      </c>
    </row>
    <row r="1125" spans="1:5" x14ac:dyDescent="0.3">
      <c r="A1125" s="1">
        <v>1016</v>
      </c>
      <c r="B1125" s="3">
        <v>1990</v>
      </c>
      <c r="C1125" s="5">
        <v>2016</v>
      </c>
      <c r="D1125" s="1">
        <v>30</v>
      </c>
      <c r="E1125" s="8" t="s">
        <v>4</v>
      </c>
    </row>
    <row r="1126" spans="1:5" x14ac:dyDescent="0.3">
      <c r="A1126" s="1">
        <v>1045</v>
      </c>
      <c r="B1126" s="3">
        <v>1990</v>
      </c>
      <c r="C1126" s="5">
        <v>2016</v>
      </c>
      <c r="D1126" s="1">
        <v>9</v>
      </c>
      <c r="E1126" s="8" t="s">
        <v>4</v>
      </c>
    </row>
    <row r="1127" spans="1:5" x14ac:dyDescent="0.3">
      <c r="A1127" s="1">
        <v>1108</v>
      </c>
      <c r="B1127" s="3">
        <v>1990</v>
      </c>
      <c r="C1127" s="5">
        <v>2016</v>
      </c>
      <c r="D1127" s="1">
        <v>16</v>
      </c>
      <c r="E1127" s="8" t="s">
        <v>4</v>
      </c>
    </row>
    <row r="1128" spans="1:5" x14ac:dyDescent="0.3">
      <c r="A1128" s="1">
        <v>1110</v>
      </c>
      <c r="B1128" s="3">
        <v>1990</v>
      </c>
      <c r="C1128" s="5">
        <v>2016</v>
      </c>
      <c r="D1128" s="1">
        <v>23</v>
      </c>
      <c r="E1128" s="8" t="s">
        <v>4</v>
      </c>
    </row>
    <row r="1129" spans="1:5" x14ac:dyDescent="0.3">
      <c r="A1129" s="1">
        <v>1218</v>
      </c>
      <c r="B1129" s="3">
        <v>1990</v>
      </c>
      <c r="C1129" s="5">
        <v>2016</v>
      </c>
      <c r="D1129" s="1">
        <v>20</v>
      </c>
      <c r="E1129" s="8" t="s">
        <v>4</v>
      </c>
    </row>
    <row r="1130" spans="1:5" x14ac:dyDescent="0.3">
      <c r="A1130" s="1">
        <v>1109</v>
      </c>
      <c r="B1130" s="3">
        <v>1991</v>
      </c>
      <c r="C1130" s="5">
        <v>2010</v>
      </c>
      <c r="D1130" s="1">
        <v>13</v>
      </c>
      <c r="E1130" s="8" t="s">
        <v>4</v>
      </c>
    </row>
    <row r="1131" spans="1:5" x14ac:dyDescent="0.3">
      <c r="A1131" s="1">
        <v>1062</v>
      </c>
      <c r="B1131" s="3">
        <v>1991</v>
      </c>
      <c r="C1131" s="5">
        <v>2017</v>
      </c>
      <c r="D1131" s="1">
        <v>28</v>
      </c>
      <c r="E1131" s="8" t="s">
        <v>4</v>
      </c>
    </row>
    <row r="1132" spans="1:5" x14ac:dyDescent="0.3">
      <c r="A1132" s="1">
        <v>1668</v>
      </c>
      <c r="B1132" s="3">
        <v>1992</v>
      </c>
      <c r="C1132" s="5">
        <v>2009</v>
      </c>
      <c r="D1132" s="1">
        <v>5</v>
      </c>
      <c r="E1132" s="8" t="s">
        <v>4</v>
      </c>
    </row>
    <row r="1133" spans="1:5" x14ac:dyDescent="0.3">
      <c r="A1133" s="1">
        <v>2121</v>
      </c>
      <c r="B1133" s="3">
        <v>1992</v>
      </c>
      <c r="C1133" s="5">
        <v>2017</v>
      </c>
      <c r="D1133" s="1">
        <v>5</v>
      </c>
      <c r="E1133" s="8" t="s">
        <v>4</v>
      </c>
    </row>
    <row r="1134" spans="1:5" x14ac:dyDescent="0.3">
      <c r="A1134" s="1">
        <v>2205</v>
      </c>
      <c r="B1134" s="3">
        <v>1992</v>
      </c>
      <c r="C1134" s="5">
        <v>1995</v>
      </c>
      <c r="D1134" s="1">
        <v>2</v>
      </c>
      <c r="E1134" s="8" t="s">
        <v>4</v>
      </c>
    </row>
    <row r="1135" spans="1:5" x14ac:dyDescent="0.3">
      <c r="A1135" s="1">
        <v>1663</v>
      </c>
      <c r="B1135" s="3">
        <v>1995</v>
      </c>
      <c r="C1135" s="5">
        <v>2016</v>
      </c>
      <c r="D1135" s="1">
        <v>20</v>
      </c>
      <c r="E1135" s="8" t="s">
        <v>4</v>
      </c>
    </row>
    <row r="1136" spans="1:5" x14ac:dyDescent="0.3">
      <c r="A1136" s="1">
        <v>1667</v>
      </c>
      <c r="B1136" s="3">
        <v>1998</v>
      </c>
      <c r="C1136" s="5">
        <v>2013</v>
      </c>
      <c r="D1136" s="1">
        <v>10</v>
      </c>
      <c r="E1136" s="8" t="s">
        <v>4</v>
      </c>
    </row>
    <row r="1137" spans="1:5" x14ac:dyDescent="0.3">
      <c r="A1137" s="1">
        <v>1685</v>
      </c>
      <c r="B1137" s="3">
        <v>1998</v>
      </c>
      <c r="C1137" s="5">
        <v>2013</v>
      </c>
      <c r="D1137" s="1">
        <v>3</v>
      </c>
      <c r="E1137" s="8" t="s">
        <v>4</v>
      </c>
    </row>
    <row r="1138" spans="1:5" x14ac:dyDescent="0.3">
      <c r="A1138" s="1">
        <v>1664</v>
      </c>
      <c r="B1138" s="3">
        <v>1998</v>
      </c>
      <c r="C1138" s="5">
        <v>2016</v>
      </c>
      <c r="D1138" s="1">
        <v>12</v>
      </c>
      <c r="E1138" s="8" t="s">
        <v>4</v>
      </c>
    </row>
    <row r="1139" spans="1:5" x14ac:dyDescent="0.3">
      <c r="A1139" s="1">
        <v>1765</v>
      </c>
      <c r="B1139" s="3">
        <v>1998</v>
      </c>
      <c r="C1139" s="5">
        <v>2016</v>
      </c>
      <c r="D1139" s="1">
        <v>19</v>
      </c>
      <c r="E1139" s="8" t="s">
        <v>4</v>
      </c>
    </row>
    <row r="1140" spans="1:5" x14ac:dyDescent="0.3">
      <c r="A1140" s="1">
        <v>2108</v>
      </c>
      <c r="B1140" s="3">
        <v>1998</v>
      </c>
      <c r="C1140" s="5">
        <v>1998</v>
      </c>
      <c r="D1140" s="1">
        <v>1</v>
      </c>
      <c r="E1140" s="8" t="s">
        <v>4</v>
      </c>
    </row>
    <row r="1141" spans="1:5" x14ac:dyDescent="0.3">
      <c r="A1141" s="1">
        <v>1673</v>
      </c>
      <c r="B1141" s="3">
        <v>2007</v>
      </c>
      <c r="C1141" s="5">
        <v>2008</v>
      </c>
      <c r="D1141" s="1">
        <v>4</v>
      </c>
      <c r="E1141" s="8" t="s">
        <v>4</v>
      </c>
    </row>
    <row r="1142" spans="1:5" x14ac:dyDescent="0.3">
      <c r="A1142" s="1">
        <v>1684</v>
      </c>
      <c r="B1142" s="3">
        <v>2007</v>
      </c>
      <c r="C1142" s="5">
        <v>2008</v>
      </c>
      <c r="D1142" s="1">
        <v>2</v>
      </c>
      <c r="E1142" s="8" t="s">
        <v>4</v>
      </c>
    </row>
    <row r="1143" spans="1:5" x14ac:dyDescent="0.3">
      <c r="A1143" s="1">
        <v>1317</v>
      </c>
      <c r="B1143" s="3">
        <v>2007</v>
      </c>
      <c r="C1143" s="5">
        <v>2016</v>
      </c>
      <c r="D1143" s="1">
        <v>13</v>
      </c>
      <c r="E1143" s="8" t="s">
        <v>4</v>
      </c>
    </row>
    <row r="1144" spans="1:5" x14ac:dyDescent="0.3">
      <c r="A1144" s="1">
        <v>1091</v>
      </c>
      <c r="B1144" s="3">
        <v>2007</v>
      </c>
      <c r="C1144" s="5">
        <v>2017</v>
      </c>
      <c r="D1144" s="1">
        <v>21</v>
      </c>
      <c r="E1144" s="8" t="s">
        <v>4</v>
      </c>
    </row>
    <row r="1145" spans="1:5" x14ac:dyDescent="0.3">
      <c r="A1145" s="1">
        <v>1514</v>
      </c>
      <c r="B1145" s="3">
        <v>2007</v>
      </c>
      <c r="C1145" s="5">
        <v>2017</v>
      </c>
      <c r="D1145" s="1">
        <v>21</v>
      </c>
      <c r="E1145" s="8" t="s">
        <v>4</v>
      </c>
    </row>
    <row r="1146" spans="1:5" x14ac:dyDescent="0.3">
      <c r="A1146" s="1">
        <v>1662</v>
      </c>
      <c r="B1146" s="3">
        <v>2008</v>
      </c>
      <c r="C1146" s="5">
        <v>2017</v>
      </c>
      <c r="D1146" s="1">
        <v>10</v>
      </c>
      <c r="E1146" s="8" t="s">
        <v>4</v>
      </c>
    </row>
    <row r="1147" spans="1:5" x14ac:dyDescent="0.3">
      <c r="A1147" s="1">
        <v>1318</v>
      </c>
      <c r="B1147" s="3">
        <v>2009</v>
      </c>
      <c r="C1147" s="5">
        <v>2014</v>
      </c>
      <c r="D1147" s="1">
        <v>6</v>
      </c>
      <c r="E1147" s="8" t="s">
        <v>4</v>
      </c>
    </row>
    <row r="1148" spans="1:5" x14ac:dyDescent="0.3">
      <c r="A1148" s="1">
        <v>1316</v>
      </c>
      <c r="B1148" s="3">
        <v>2009</v>
      </c>
      <c r="C1148" s="5">
        <v>2017</v>
      </c>
      <c r="D1148" s="1">
        <v>15</v>
      </c>
      <c r="E1148" s="8" t="s">
        <v>4</v>
      </c>
    </row>
    <row r="1149" spans="1:5" x14ac:dyDescent="0.3">
      <c r="A1149" s="1">
        <v>1516</v>
      </c>
      <c r="B1149" s="3">
        <v>2010</v>
      </c>
      <c r="C1149" s="5">
        <v>2011</v>
      </c>
      <c r="D1149" s="1">
        <v>3</v>
      </c>
      <c r="E1149" s="8" t="s">
        <v>4</v>
      </c>
    </row>
    <row r="1150" spans="1:5" x14ac:dyDescent="0.3">
      <c r="A1150" s="1">
        <v>1003</v>
      </c>
      <c r="B1150" s="3">
        <v>2010</v>
      </c>
      <c r="C1150" s="5">
        <v>2016</v>
      </c>
      <c r="D1150" s="1">
        <v>3</v>
      </c>
      <c r="E1150" s="8" t="s">
        <v>4</v>
      </c>
    </row>
    <row r="1151" spans="1:5" x14ac:dyDescent="0.3">
      <c r="A1151" s="1">
        <v>1818</v>
      </c>
      <c r="B1151" s="3">
        <v>2012</v>
      </c>
      <c r="C1151" s="5">
        <v>2012</v>
      </c>
      <c r="D1151" s="1">
        <v>1</v>
      </c>
      <c r="E1151" s="8" t="s">
        <v>4</v>
      </c>
    </row>
    <row r="1152" spans="1:5" x14ac:dyDescent="0.3">
      <c r="A1152" s="1">
        <v>1473</v>
      </c>
      <c r="B1152" s="3">
        <v>2012</v>
      </c>
      <c r="C1152" s="5">
        <v>2017</v>
      </c>
      <c r="D1152" s="1">
        <v>11</v>
      </c>
      <c r="E1152" s="8" t="s">
        <v>4</v>
      </c>
    </row>
    <row r="1153" spans="1:5" x14ac:dyDescent="0.3">
      <c r="A1153" s="1">
        <v>1669</v>
      </c>
      <c r="B1153" s="3">
        <v>2013</v>
      </c>
      <c r="C1153" s="5">
        <v>2014</v>
      </c>
      <c r="D1153" s="1">
        <v>3</v>
      </c>
      <c r="E1153" s="8" t="s">
        <v>4</v>
      </c>
    </row>
    <row r="1154" spans="1:5" x14ac:dyDescent="0.3">
      <c r="A1154" s="1">
        <v>1254</v>
      </c>
      <c r="B1154" s="3">
        <v>2013</v>
      </c>
      <c r="C1154" s="5">
        <v>2015</v>
      </c>
      <c r="D1154" s="1">
        <v>3</v>
      </c>
      <c r="E1154" s="8" t="s">
        <v>4</v>
      </c>
    </row>
    <row r="1155" spans="1:5" x14ac:dyDescent="0.3">
      <c r="A1155" s="1">
        <v>1660</v>
      </c>
      <c r="B1155" s="3">
        <v>2013</v>
      </c>
      <c r="C1155" s="5">
        <v>2016</v>
      </c>
      <c r="D1155" s="1">
        <v>7</v>
      </c>
      <c r="E1155" s="8" t="s">
        <v>4</v>
      </c>
    </row>
    <row r="1156" spans="1:5" x14ac:dyDescent="0.3">
      <c r="A1156" s="1">
        <v>1672</v>
      </c>
      <c r="B1156" s="3">
        <v>2013</v>
      </c>
      <c r="C1156" s="5">
        <v>2017</v>
      </c>
      <c r="D1156" s="1">
        <v>7</v>
      </c>
      <c r="E1156" s="8" t="s">
        <v>4</v>
      </c>
    </row>
    <row r="1157" spans="1:5" x14ac:dyDescent="0.3">
      <c r="A1157" s="1">
        <v>1665</v>
      </c>
      <c r="B1157" s="3">
        <v>2014</v>
      </c>
      <c r="C1157" s="5">
        <v>2016</v>
      </c>
      <c r="D1157" s="1">
        <v>5</v>
      </c>
      <c r="E1157" s="8" t="s">
        <v>4</v>
      </c>
    </row>
    <row r="1158" spans="1:5" x14ac:dyDescent="0.3">
      <c r="A1158" s="1">
        <v>1777</v>
      </c>
      <c r="B1158" s="3">
        <v>2015</v>
      </c>
      <c r="C1158" s="5">
        <v>2017</v>
      </c>
      <c r="D1158" s="1">
        <v>2</v>
      </c>
      <c r="E1158" s="8" t="s">
        <v>4</v>
      </c>
    </row>
    <row r="1159" spans="1:5" x14ac:dyDescent="0.3">
      <c r="A1159" s="1">
        <v>2028</v>
      </c>
      <c r="B1159" s="3">
        <v>2016</v>
      </c>
      <c r="C1159" s="5">
        <v>2016</v>
      </c>
      <c r="D1159" s="1">
        <v>2</v>
      </c>
      <c r="E1159" s="8" t="s">
        <v>4</v>
      </c>
    </row>
    <row r="1160" spans="1:5" x14ac:dyDescent="0.3">
      <c r="A1160" s="1">
        <v>2126</v>
      </c>
      <c r="B1160" s="3">
        <v>2017</v>
      </c>
      <c r="C1160" s="5">
        <v>2017</v>
      </c>
      <c r="D1160" s="1">
        <v>1</v>
      </c>
      <c r="E1160" s="8" t="s">
        <v>4</v>
      </c>
    </row>
    <row r="1161" spans="1:5" x14ac:dyDescent="0.3">
      <c r="A1161" s="1">
        <v>2240</v>
      </c>
      <c r="B1161" s="3">
        <v>2017</v>
      </c>
      <c r="C1161" s="5">
        <v>2017</v>
      </c>
      <c r="D1161" s="1">
        <v>1</v>
      </c>
      <c r="E1161" s="8" t="s">
        <v>4</v>
      </c>
    </row>
    <row r="1162" spans="1:5" x14ac:dyDescent="0.3">
      <c r="A1162" s="1">
        <v>2076</v>
      </c>
      <c r="B1162" s="3">
        <v>2018</v>
      </c>
      <c r="C1162" s="5">
        <v>2018</v>
      </c>
      <c r="D1162" s="1">
        <v>1</v>
      </c>
      <c r="E1162" s="8" t="s">
        <v>4</v>
      </c>
    </row>
    <row r="1163" spans="1:5" x14ac:dyDescent="0.3">
      <c r="A1163" s="1">
        <v>1027</v>
      </c>
      <c r="B1163" s="3">
        <v>2008</v>
      </c>
      <c r="C1163" s="5">
        <v>2017</v>
      </c>
      <c r="D1163" s="1">
        <v>5</v>
      </c>
      <c r="E1163" s="8" t="s">
        <v>19</v>
      </c>
    </row>
    <row r="1164" spans="1:5" x14ac:dyDescent="0.3">
      <c r="A1164" s="1">
        <v>2207</v>
      </c>
      <c r="B1164" s="3">
        <v>1990</v>
      </c>
      <c r="C1164" s="5">
        <v>1998</v>
      </c>
      <c r="D1164" s="1">
        <v>7</v>
      </c>
      <c r="E1164" s="8" t="s">
        <v>67</v>
      </c>
    </row>
    <row r="1165" spans="1:5" x14ac:dyDescent="0.3">
      <c r="A1165" s="1">
        <v>1227</v>
      </c>
      <c r="B1165" s="3">
        <v>1993</v>
      </c>
      <c r="C1165" s="5">
        <v>2009</v>
      </c>
      <c r="D1165" s="1">
        <v>8</v>
      </c>
      <c r="E1165" s="8" t="s">
        <v>67</v>
      </c>
    </row>
    <row r="1166" spans="1:5" x14ac:dyDescent="0.3">
      <c r="A1166" s="1">
        <v>1816</v>
      </c>
      <c r="B1166" s="3">
        <v>1998</v>
      </c>
      <c r="C1166" s="5">
        <v>2015</v>
      </c>
      <c r="D1166" s="1">
        <v>3</v>
      </c>
      <c r="E1166" s="8" t="s">
        <v>67</v>
      </c>
    </row>
    <row r="1167" spans="1:5" x14ac:dyDescent="0.3">
      <c r="A1167" s="1">
        <v>1941</v>
      </c>
      <c r="B1167" s="3">
        <v>2015</v>
      </c>
      <c r="C1167" s="5">
        <v>2015</v>
      </c>
      <c r="D1167" s="1">
        <v>1</v>
      </c>
      <c r="E1167" s="8" t="s">
        <v>67</v>
      </c>
    </row>
    <row r="1168" spans="1:5" x14ac:dyDescent="0.3">
      <c r="A1168" s="1">
        <v>1512</v>
      </c>
      <c r="B1168" s="3">
        <v>1991</v>
      </c>
      <c r="C1168" s="5">
        <v>2008</v>
      </c>
      <c r="D1168" s="1">
        <v>2</v>
      </c>
      <c r="E1168" s="8" t="s">
        <v>23</v>
      </c>
    </row>
    <row r="1169" spans="1:5" x14ac:dyDescent="0.3">
      <c r="A1169" s="1">
        <v>1179</v>
      </c>
      <c r="B1169" s="3">
        <v>1993</v>
      </c>
      <c r="C1169" s="5">
        <v>2008</v>
      </c>
      <c r="D1169" s="1">
        <v>5</v>
      </c>
      <c r="E1169" s="8" t="s">
        <v>23</v>
      </c>
    </row>
    <row r="1170" spans="1:5" x14ac:dyDescent="0.3">
      <c r="A1170" s="1">
        <v>2167</v>
      </c>
      <c r="B1170" s="3">
        <v>1993</v>
      </c>
      <c r="C1170" s="5">
        <v>2000</v>
      </c>
      <c r="D1170" s="1">
        <v>4</v>
      </c>
      <c r="E1170" s="8" t="s">
        <v>23</v>
      </c>
    </row>
    <row r="1171" spans="1:5" x14ac:dyDescent="0.3">
      <c r="A1171" s="1">
        <v>1511</v>
      </c>
      <c r="B1171" s="3">
        <v>1995</v>
      </c>
      <c r="C1171" s="5">
        <v>2012</v>
      </c>
      <c r="D1171" s="1">
        <v>5</v>
      </c>
      <c r="E1171" s="8" t="s">
        <v>23</v>
      </c>
    </row>
    <row r="1172" spans="1:5" x14ac:dyDescent="0.3">
      <c r="A1172" s="1">
        <v>1863</v>
      </c>
      <c r="B1172" s="3">
        <v>2007</v>
      </c>
      <c r="C1172" s="5">
        <v>2007</v>
      </c>
      <c r="D1172" s="1">
        <v>1</v>
      </c>
      <c r="E1172" s="8" t="s">
        <v>23</v>
      </c>
    </row>
    <row r="1173" spans="1:5" x14ac:dyDescent="0.3">
      <c r="A1173" s="1">
        <v>1032</v>
      </c>
      <c r="B1173" s="3">
        <v>2008</v>
      </c>
      <c r="C1173" s="5">
        <v>2017</v>
      </c>
      <c r="D1173" s="1">
        <v>11</v>
      </c>
      <c r="E1173" s="8" t="s">
        <v>23</v>
      </c>
    </row>
    <row r="1174" spans="1:5" x14ac:dyDescent="0.3">
      <c r="A1174" s="1">
        <v>1214</v>
      </c>
      <c r="B1174" s="3">
        <v>2009</v>
      </c>
      <c r="C1174" s="5">
        <v>2009</v>
      </c>
      <c r="D1174" s="1">
        <v>1</v>
      </c>
      <c r="E1174" s="8" t="s">
        <v>23</v>
      </c>
    </row>
    <row r="1175" spans="1:5" x14ac:dyDescent="0.3">
      <c r="A1175" s="1">
        <v>1509</v>
      </c>
      <c r="B1175" s="3">
        <v>2009</v>
      </c>
      <c r="C1175" s="5">
        <v>2015</v>
      </c>
      <c r="D1175" s="1">
        <v>6</v>
      </c>
      <c r="E1175" s="8" t="s">
        <v>23</v>
      </c>
    </row>
    <row r="1176" spans="1:5" x14ac:dyDescent="0.3">
      <c r="A1176" s="1">
        <v>1517</v>
      </c>
      <c r="B1176" s="3">
        <v>2012</v>
      </c>
      <c r="C1176" s="5">
        <v>2012</v>
      </c>
      <c r="D1176" s="1">
        <v>1</v>
      </c>
      <c r="E1176" s="8" t="s">
        <v>23</v>
      </c>
    </row>
    <row r="1177" spans="1:5" x14ac:dyDescent="0.3">
      <c r="A1177" s="1">
        <v>1513</v>
      </c>
      <c r="B1177" s="3">
        <v>2012</v>
      </c>
      <c r="C1177" s="5">
        <v>2016</v>
      </c>
      <c r="D1177" s="1">
        <v>2</v>
      </c>
      <c r="E1177" s="8" t="s">
        <v>23</v>
      </c>
    </row>
    <row r="1178" spans="1:5" x14ac:dyDescent="0.3">
      <c r="A1178" s="1">
        <v>1725</v>
      </c>
      <c r="B1178" s="3">
        <v>2014</v>
      </c>
      <c r="C1178" s="5">
        <v>2014</v>
      </c>
      <c r="D1178" s="1">
        <v>1</v>
      </c>
      <c r="E1178" s="8" t="s">
        <v>23</v>
      </c>
    </row>
    <row r="1179" spans="1:5" x14ac:dyDescent="0.3">
      <c r="A1179" s="1">
        <v>1797</v>
      </c>
      <c r="B1179" s="3">
        <v>2015</v>
      </c>
      <c r="C1179" s="5">
        <v>2015</v>
      </c>
      <c r="D1179" s="1">
        <v>1</v>
      </c>
      <c r="E1179" s="8" t="s">
        <v>23</v>
      </c>
    </row>
    <row r="1180" spans="1:5" x14ac:dyDescent="0.3">
      <c r="A1180" s="1">
        <v>1801</v>
      </c>
      <c r="B1180" s="3">
        <v>2015</v>
      </c>
      <c r="C1180" s="5">
        <v>2015</v>
      </c>
      <c r="D1180" s="1">
        <v>1</v>
      </c>
      <c r="E1180" s="8" t="s">
        <v>23</v>
      </c>
    </row>
    <row r="1181" spans="1:5" x14ac:dyDescent="0.3">
      <c r="A1181" s="1">
        <v>2034</v>
      </c>
      <c r="B1181" s="3">
        <v>2016</v>
      </c>
      <c r="C1181" s="5">
        <v>2016</v>
      </c>
      <c r="D1181" s="1">
        <v>1</v>
      </c>
      <c r="E1181" s="8" t="s">
        <v>23</v>
      </c>
    </row>
    <row r="1182" spans="1:5" x14ac:dyDescent="0.3">
      <c r="A1182" s="1">
        <v>2036</v>
      </c>
      <c r="B1182" s="3">
        <v>2016</v>
      </c>
      <c r="C1182" s="5">
        <v>2016</v>
      </c>
      <c r="D1182" s="1">
        <v>1</v>
      </c>
      <c r="E1182" s="8" t="s">
        <v>23</v>
      </c>
    </row>
    <row r="1183" spans="1:5" x14ac:dyDescent="0.3">
      <c r="A1183" s="1">
        <v>1870</v>
      </c>
      <c r="B1183" s="3">
        <v>2016</v>
      </c>
      <c r="C1183" s="5">
        <v>2017</v>
      </c>
      <c r="D1183" s="1">
        <v>3</v>
      </c>
      <c r="E1183" s="8" t="s">
        <v>23</v>
      </c>
    </row>
    <row r="1184" spans="1:5" x14ac:dyDescent="0.3">
      <c r="A1184" s="1">
        <v>2080</v>
      </c>
      <c r="B1184" s="3">
        <v>1981</v>
      </c>
      <c r="C1184" s="5">
        <v>2018</v>
      </c>
      <c r="D1184" s="1">
        <v>3</v>
      </c>
      <c r="E1184" s="8" t="s">
        <v>72</v>
      </c>
    </row>
    <row r="1185" spans="1:5" x14ac:dyDescent="0.3">
      <c r="A1185" s="1">
        <v>1143</v>
      </c>
      <c r="B1185" s="3">
        <v>1993</v>
      </c>
      <c r="C1185" s="5">
        <v>2010</v>
      </c>
      <c r="D1185" s="1">
        <v>8</v>
      </c>
      <c r="E1185" s="8" t="s">
        <v>72</v>
      </c>
    </row>
    <row r="1186" spans="1:5" x14ac:dyDescent="0.3">
      <c r="A1186" s="1">
        <v>2267</v>
      </c>
      <c r="B1186" s="3">
        <v>2007</v>
      </c>
      <c r="C1186" s="5">
        <v>2007</v>
      </c>
      <c r="D1186" s="1">
        <v>1</v>
      </c>
      <c r="E1186" s="8" t="s">
        <v>72</v>
      </c>
    </row>
    <row r="1187" spans="1:5" x14ac:dyDescent="0.3">
      <c r="A1187" s="1">
        <v>1571</v>
      </c>
      <c r="B1187" s="3">
        <v>2007</v>
      </c>
      <c r="C1187" s="5">
        <v>2012</v>
      </c>
      <c r="D1187" s="1">
        <v>3</v>
      </c>
      <c r="E1187" s="8" t="s">
        <v>72</v>
      </c>
    </row>
    <row r="1188" spans="1:5" x14ac:dyDescent="0.3">
      <c r="A1188" s="1">
        <v>1437</v>
      </c>
      <c r="B1188" s="3">
        <v>2007</v>
      </c>
      <c r="C1188" s="5">
        <v>2014</v>
      </c>
      <c r="D1188" s="1">
        <v>3</v>
      </c>
      <c r="E1188" s="8" t="s">
        <v>72</v>
      </c>
    </row>
    <row r="1189" spans="1:5" x14ac:dyDescent="0.3">
      <c r="A1189" s="1">
        <v>1414</v>
      </c>
      <c r="B1189" s="3">
        <v>2008</v>
      </c>
      <c r="C1189" s="5">
        <v>2016</v>
      </c>
      <c r="D1189" s="1">
        <v>4</v>
      </c>
      <c r="E1189" s="8" t="s">
        <v>72</v>
      </c>
    </row>
    <row r="1190" spans="1:5" x14ac:dyDescent="0.3">
      <c r="A1190" s="1">
        <v>1563</v>
      </c>
      <c r="B1190" s="3">
        <v>2014</v>
      </c>
      <c r="C1190" s="5">
        <v>2014</v>
      </c>
      <c r="D1190" s="1">
        <v>1</v>
      </c>
      <c r="E1190" s="8" t="s">
        <v>72</v>
      </c>
    </row>
    <row r="1191" spans="1:5" x14ac:dyDescent="0.3">
      <c r="A1191" s="1">
        <v>1262</v>
      </c>
      <c r="B1191" s="3">
        <v>2014</v>
      </c>
      <c r="C1191" s="5">
        <v>2017</v>
      </c>
      <c r="D1191" s="1">
        <v>2</v>
      </c>
      <c r="E1191" s="8" t="s">
        <v>72</v>
      </c>
    </row>
    <row r="1192" spans="1:5" x14ac:dyDescent="0.3">
      <c r="A1192" s="1">
        <v>2210</v>
      </c>
      <c r="B1192" s="3">
        <v>2017</v>
      </c>
      <c r="C1192" s="5">
        <v>2017</v>
      </c>
      <c r="D1192" s="1">
        <v>1</v>
      </c>
      <c r="E1192" s="8" t="s">
        <v>72</v>
      </c>
    </row>
    <row r="1193" spans="1:5" x14ac:dyDescent="0.3">
      <c r="A1193" s="1">
        <v>1038</v>
      </c>
      <c r="B1193" s="3">
        <v>1990</v>
      </c>
      <c r="C1193" s="5">
        <v>2017</v>
      </c>
      <c r="D1193" s="1">
        <v>10</v>
      </c>
      <c r="E1193" s="8" t="s">
        <v>16</v>
      </c>
    </row>
    <row r="1194" spans="1:5" x14ac:dyDescent="0.3">
      <c r="A1194" s="1">
        <v>1114</v>
      </c>
      <c r="B1194" s="3">
        <v>1991</v>
      </c>
      <c r="C1194" s="5">
        <v>2011</v>
      </c>
      <c r="D1194" s="1">
        <v>11</v>
      </c>
      <c r="E1194" s="8" t="s">
        <v>16</v>
      </c>
    </row>
    <row r="1195" spans="1:5" x14ac:dyDescent="0.3">
      <c r="A1195" s="1">
        <v>1020</v>
      </c>
      <c r="B1195" s="3">
        <v>1992</v>
      </c>
      <c r="C1195" s="5">
        <v>2009</v>
      </c>
      <c r="D1195" s="1">
        <v>8</v>
      </c>
      <c r="E1195" s="8" t="s">
        <v>16</v>
      </c>
    </row>
    <row r="1196" spans="1:5" x14ac:dyDescent="0.3">
      <c r="A1196" s="1">
        <v>1266</v>
      </c>
      <c r="B1196" s="3">
        <v>1994</v>
      </c>
      <c r="C1196" s="5">
        <v>2017</v>
      </c>
      <c r="D1196" s="1">
        <v>30</v>
      </c>
      <c r="E1196" s="8" t="s">
        <v>16</v>
      </c>
    </row>
    <row r="1197" spans="1:5" x14ac:dyDescent="0.3">
      <c r="A1197" s="1">
        <v>1270</v>
      </c>
      <c r="B1197" s="3">
        <v>1996</v>
      </c>
      <c r="C1197" s="5">
        <v>2017</v>
      </c>
      <c r="D1197" s="1">
        <v>24</v>
      </c>
      <c r="E1197" s="8" t="s">
        <v>16</v>
      </c>
    </row>
    <row r="1198" spans="1:5" x14ac:dyDescent="0.3">
      <c r="A1198" s="1">
        <v>1240</v>
      </c>
      <c r="B1198" s="3">
        <v>1998</v>
      </c>
      <c r="C1198" s="5">
        <v>2017</v>
      </c>
      <c r="D1198" s="1">
        <v>16</v>
      </c>
      <c r="E1198" s="8" t="s">
        <v>16</v>
      </c>
    </row>
    <row r="1199" spans="1:5" x14ac:dyDescent="0.3">
      <c r="A1199" s="1">
        <v>1105</v>
      </c>
      <c r="B1199" s="3">
        <v>2007</v>
      </c>
      <c r="C1199" s="5">
        <v>2010</v>
      </c>
      <c r="D1199" s="1">
        <v>3</v>
      </c>
      <c r="E1199" s="8" t="s">
        <v>16</v>
      </c>
    </row>
    <row r="1200" spans="1:5" x14ac:dyDescent="0.3">
      <c r="A1200" s="1">
        <v>1733</v>
      </c>
      <c r="B1200" s="3">
        <v>2007</v>
      </c>
      <c r="C1200" s="5">
        <v>2010</v>
      </c>
      <c r="D1200" s="1">
        <v>5</v>
      </c>
      <c r="E1200" s="8" t="s">
        <v>16</v>
      </c>
    </row>
    <row r="1201" spans="1:5" x14ac:dyDescent="0.3">
      <c r="A1201" s="1">
        <v>1139</v>
      </c>
      <c r="B1201" s="3">
        <v>2007</v>
      </c>
      <c r="C1201" s="5">
        <v>2016</v>
      </c>
      <c r="D1201" s="1">
        <v>10</v>
      </c>
      <c r="E1201" s="8" t="s">
        <v>16</v>
      </c>
    </row>
    <row r="1202" spans="1:5" x14ac:dyDescent="0.3">
      <c r="A1202" s="1">
        <v>1386</v>
      </c>
      <c r="B1202" s="3">
        <v>2007</v>
      </c>
      <c r="C1202" s="5">
        <v>2017</v>
      </c>
      <c r="D1202" s="1">
        <v>15</v>
      </c>
      <c r="E1202" s="8" t="s">
        <v>16</v>
      </c>
    </row>
    <row r="1203" spans="1:5" x14ac:dyDescent="0.3">
      <c r="A1203" s="1">
        <v>1024</v>
      </c>
      <c r="B1203" s="3">
        <v>2008</v>
      </c>
      <c r="C1203" s="5">
        <v>2008</v>
      </c>
      <c r="D1203" s="1">
        <v>1</v>
      </c>
      <c r="E1203" s="8" t="s">
        <v>16</v>
      </c>
    </row>
    <row r="1204" spans="1:5" x14ac:dyDescent="0.3">
      <c r="A1204" s="1">
        <v>1443</v>
      </c>
      <c r="B1204" s="3">
        <v>2008</v>
      </c>
      <c r="C1204" s="5">
        <v>2016</v>
      </c>
      <c r="D1204" s="1">
        <v>8</v>
      </c>
      <c r="E1204" s="8" t="s">
        <v>16</v>
      </c>
    </row>
    <row r="1205" spans="1:5" x14ac:dyDescent="0.3">
      <c r="A1205" s="1">
        <v>1539</v>
      </c>
      <c r="B1205" s="3">
        <v>2008</v>
      </c>
      <c r="C1205" s="5">
        <v>2017</v>
      </c>
      <c r="D1205" s="1">
        <v>9</v>
      </c>
      <c r="E1205" s="8" t="s">
        <v>16</v>
      </c>
    </row>
    <row r="1206" spans="1:5" x14ac:dyDescent="0.3">
      <c r="A1206" s="1">
        <v>1267</v>
      </c>
      <c r="B1206" s="3">
        <v>2009</v>
      </c>
      <c r="C1206" s="5">
        <v>2010</v>
      </c>
      <c r="D1206" s="1">
        <v>2</v>
      </c>
      <c r="E1206" s="8" t="s">
        <v>16</v>
      </c>
    </row>
    <row r="1207" spans="1:5" x14ac:dyDescent="0.3">
      <c r="A1207" s="1">
        <v>1222</v>
      </c>
      <c r="B1207" s="3">
        <v>2011</v>
      </c>
      <c r="C1207" s="5">
        <v>2013</v>
      </c>
      <c r="D1207" s="1">
        <v>3</v>
      </c>
      <c r="E1207" s="8" t="s">
        <v>16</v>
      </c>
    </row>
    <row r="1208" spans="1:5" x14ac:dyDescent="0.3">
      <c r="A1208" s="1">
        <v>1223</v>
      </c>
      <c r="B1208" s="3">
        <v>2011</v>
      </c>
      <c r="C1208" s="5">
        <v>2013</v>
      </c>
      <c r="D1208" s="1">
        <v>3</v>
      </c>
      <c r="E1208" s="8" t="s">
        <v>16</v>
      </c>
    </row>
    <row r="1209" spans="1:5" x14ac:dyDescent="0.3">
      <c r="A1209" s="1">
        <v>2258</v>
      </c>
      <c r="B1209" s="3">
        <v>2014</v>
      </c>
      <c r="C1209" s="5">
        <v>2015</v>
      </c>
      <c r="D1209" s="1">
        <v>2</v>
      </c>
      <c r="E1209" s="8" t="s">
        <v>16</v>
      </c>
    </row>
    <row r="1210" spans="1:5" x14ac:dyDescent="0.3">
      <c r="A1210" s="1">
        <v>1956</v>
      </c>
      <c r="B1210" s="3">
        <v>2015</v>
      </c>
      <c r="C1210" s="5">
        <v>2015</v>
      </c>
      <c r="D1210" s="1">
        <v>1</v>
      </c>
      <c r="E1210" s="8" t="s">
        <v>16</v>
      </c>
    </row>
    <row r="1211" spans="1:5" x14ac:dyDescent="0.3">
      <c r="A1211" s="1">
        <v>1792</v>
      </c>
      <c r="B1211" s="3">
        <v>2016</v>
      </c>
      <c r="C1211" s="5">
        <v>2016</v>
      </c>
      <c r="D1211" s="1">
        <v>1</v>
      </c>
      <c r="E1211" s="8" t="s">
        <v>16</v>
      </c>
    </row>
    <row r="1212" spans="1:5" x14ac:dyDescent="0.3">
      <c r="A1212" s="1">
        <v>2047</v>
      </c>
      <c r="B1212" s="3">
        <v>2016</v>
      </c>
      <c r="C1212" s="5">
        <v>2016</v>
      </c>
      <c r="D1212" s="1">
        <v>1</v>
      </c>
      <c r="E1212" s="8" t="s">
        <v>16</v>
      </c>
    </row>
    <row r="1213" spans="1:5" x14ac:dyDescent="0.3">
      <c r="A1213" s="1">
        <v>2026</v>
      </c>
      <c r="B1213" s="3">
        <v>2016</v>
      </c>
      <c r="C1213" s="5">
        <v>2017</v>
      </c>
      <c r="D1213" s="1">
        <v>2</v>
      </c>
      <c r="E1213" s="8" t="s">
        <v>16</v>
      </c>
    </row>
    <row r="1214" spans="1:5" x14ac:dyDescent="0.3">
      <c r="A1214" s="1">
        <v>2087</v>
      </c>
      <c r="B1214" s="3">
        <v>2017</v>
      </c>
      <c r="C1214" s="5">
        <v>2017</v>
      </c>
      <c r="D1214" s="1">
        <v>1</v>
      </c>
      <c r="E1214" s="8" t="s">
        <v>16</v>
      </c>
    </row>
    <row r="1215" spans="1:5" x14ac:dyDescent="0.3">
      <c r="A1215" s="1">
        <v>2255</v>
      </c>
      <c r="B1215" s="3">
        <v>1993</v>
      </c>
      <c r="C1215" s="5">
        <v>2004</v>
      </c>
      <c r="D1215" s="1">
        <v>3</v>
      </c>
      <c r="E1215" s="8" t="s">
        <v>108</v>
      </c>
    </row>
    <row r="1216" spans="1:5" x14ac:dyDescent="0.3">
      <c r="A1216" s="1">
        <v>1718</v>
      </c>
      <c r="B1216" s="3">
        <v>2008</v>
      </c>
      <c r="C1216" s="5">
        <v>2008</v>
      </c>
      <c r="D1216" s="1">
        <v>1</v>
      </c>
      <c r="E1216" s="8" t="s">
        <v>108</v>
      </c>
    </row>
    <row r="1217" spans="1:5" x14ac:dyDescent="0.3">
      <c r="A1217" s="1">
        <v>1989</v>
      </c>
      <c r="B1217" s="3">
        <v>2016</v>
      </c>
      <c r="C1217" s="5">
        <v>2016</v>
      </c>
      <c r="D1217" s="1">
        <v>1</v>
      </c>
      <c r="E1217" s="8" t="s">
        <v>108</v>
      </c>
    </row>
    <row r="1218" spans="1:5" x14ac:dyDescent="0.3">
      <c r="A1218" s="1">
        <v>1140</v>
      </c>
      <c r="B1218" s="3">
        <v>2011</v>
      </c>
      <c r="C1218" s="5">
        <v>2012</v>
      </c>
      <c r="D1218" s="1">
        <v>2</v>
      </c>
      <c r="E1218" s="8" t="s">
        <v>54</v>
      </c>
    </row>
    <row r="1219" spans="1:5" x14ac:dyDescent="0.3">
      <c r="A1219" s="1">
        <v>2100</v>
      </c>
      <c r="B1219" s="3">
        <v>2017</v>
      </c>
      <c r="C1219" s="5">
        <v>2017</v>
      </c>
      <c r="D1219" s="1">
        <v>1</v>
      </c>
      <c r="E1219" s="8" t="s">
        <v>54</v>
      </c>
    </row>
    <row r="1220" spans="1:5" x14ac:dyDescent="0.3">
      <c r="A1220" s="1">
        <v>1167</v>
      </c>
      <c r="B1220" s="3">
        <v>2012</v>
      </c>
      <c r="C1220" s="5">
        <v>2012</v>
      </c>
      <c r="D1220" s="1">
        <v>2</v>
      </c>
      <c r="E1220" s="8" t="s">
        <v>59</v>
      </c>
    </row>
    <row r="1221" spans="1:5" x14ac:dyDescent="0.3">
      <c r="A1221" s="1">
        <v>1168</v>
      </c>
      <c r="B1221" s="3">
        <v>2012</v>
      </c>
      <c r="C1221" s="5">
        <v>2012</v>
      </c>
      <c r="D1221" s="1">
        <v>2</v>
      </c>
      <c r="E1221" s="8" t="s">
        <v>59</v>
      </c>
    </row>
    <row r="1222" spans="1:5" x14ac:dyDescent="0.3">
      <c r="A1222" s="1">
        <v>2085</v>
      </c>
      <c r="B1222" s="3">
        <v>2018</v>
      </c>
      <c r="C1222" s="5">
        <v>2018</v>
      </c>
      <c r="D1222" s="1">
        <v>1</v>
      </c>
      <c r="E1222" s="8" t="s">
        <v>59</v>
      </c>
    </row>
    <row r="1223" spans="1:5" x14ac:dyDescent="0.3">
      <c r="A1223" s="1">
        <v>2086</v>
      </c>
      <c r="B1223" s="3">
        <v>2018</v>
      </c>
      <c r="C1223" s="5">
        <v>2018</v>
      </c>
      <c r="D1223" s="1">
        <v>1</v>
      </c>
      <c r="E1223" s="8" t="s">
        <v>59</v>
      </c>
    </row>
    <row r="1224" spans="1:5" x14ac:dyDescent="0.3">
      <c r="A1224" s="1">
        <v>1095</v>
      </c>
      <c r="B1224" s="3">
        <v>1990</v>
      </c>
      <c r="C1224" s="5">
        <v>2011</v>
      </c>
      <c r="D1224" s="1">
        <v>10</v>
      </c>
      <c r="E1224" s="8" t="s">
        <v>291</v>
      </c>
    </row>
    <row r="1225" spans="1:5" x14ac:dyDescent="0.3">
      <c r="A1225" s="1">
        <v>1287</v>
      </c>
      <c r="B1225" s="3">
        <v>2012</v>
      </c>
      <c r="C1225" s="5">
        <v>2016</v>
      </c>
      <c r="D1225" s="1">
        <v>2</v>
      </c>
      <c r="E1225" s="8" t="s">
        <v>291</v>
      </c>
    </row>
    <row r="1226" spans="1:5" x14ac:dyDescent="0.3">
      <c r="A1226" s="1">
        <v>1019</v>
      </c>
      <c r="B1226" s="3">
        <v>2010</v>
      </c>
      <c r="C1226" s="5">
        <v>2010</v>
      </c>
      <c r="D1226" s="1">
        <v>1</v>
      </c>
      <c r="E1226" s="8" t="s">
        <v>15</v>
      </c>
    </row>
    <row r="1227" spans="1:5" x14ac:dyDescent="0.3">
      <c r="A1227" s="1">
        <v>1580</v>
      </c>
      <c r="B1227" s="3">
        <v>1983</v>
      </c>
      <c r="C1227" s="5">
        <v>2017</v>
      </c>
      <c r="D1227" s="1">
        <v>36</v>
      </c>
      <c r="E1227" s="8" t="s">
        <v>88</v>
      </c>
    </row>
    <row r="1228" spans="1:5" x14ac:dyDescent="0.3">
      <c r="A1228" s="1">
        <v>2113</v>
      </c>
      <c r="B1228" s="3">
        <v>1986</v>
      </c>
      <c r="C1228" s="5">
        <v>1992</v>
      </c>
      <c r="D1228" s="1">
        <v>2</v>
      </c>
      <c r="E1228" s="8" t="s">
        <v>88</v>
      </c>
    </row>
    <row r="1229" spans="1:5" x14ac:dyDescent="0.3">
      <c r="A1229" s="1">
        <v>2191</v>
      </c>
      <c r="B1229" s="3">
        <v>1987</v>
      </c>
      <c r="C1229" s="5">
        <v>1998</v>
      </c>
      <c r="D1229" s="1">
        <v>7</v>
      </c>
      <c r="E1229" s="8" t="s">
        <v>88</v>
      </c>
    </row>
    <row r="1230" spans="1:5" x14ac:dyDescent="0.3">
      <c r="A1230" s="1">
        <v>1806</v>
      </c>
      <c r="B1230" s="3">
        <v>1990</v>
      </c>
      <c r="C1230" s="5">
        <v>2007</v>
      </c>
      <c r="D1230" s="1">
        <v>7</v>
      </c>
      <c r="E1230" s="8" t="s">
        <v>88</v>
      </c>
    </row>
    <row r="1231" spans="1:5" x14ac:dyDescent="0.3">
      <c r="A1231" s="1">
        <v>1879</v>
      </c>
      <c r="B1231" s="3">
        <v>1990</v>
      </c>
      <c r="C1231" s="5">
        <v>2007</v>
      </c>
      <c r="D1231" s="1">
        <v>6</v>
      </c>
      <c r="E1231" s="8" t="s">
        <v>88</v>
      </c>
    </row>
    <row r="1232" spans="1:5" x14ac:dyDescent="0.3">
      <c r="A1232" s="1">
        <v>1612</v>
      </c>
      <c r="B1232" s="3">
        <v>1990</v>
      </c>
      <c r="C1232" s="5">
        <v>2017</v>
      </c>
      <c r="D1232" s="1">
        <v>30</v>
      </c>
      <c r="E1232" s="8" t="s">
        <v>88</v>
      </c>
    </row>
    <row r="1233" spans="1:5" x14ac:dyDescent="0.3">
      <c r="A1233" s="1">
        <v>1604</v>
      </c>
      <c r="B1233" s="3">
        <v>1992</v>
      </c>
      <c r="C1233" s="5">
        <v>2017</v>
      </c>
      <c r="D1233" s="1">
        <v>15</v>
      </c>
      <c r="E1233" s="8" t="s">
        <v>88</v>
      </c>
    </row>
    <row r="1234" spans="1:5" x14ac:dyDescent="0.3">
      <c r="A1234" s="1">
        <v>2177</v>
      </c>
      <c r="B1234" s="3">
        <v>1992</v>
      </c>
      <c r="C1234" s="5">
        <v>2000</v>
      </c>
      <c r="D1234" s="1">
        <v>2</v>
      </c>
      <c r="E1234" s="8" t="s">
        <v>88</v>
      </c>
    </row>
    <row r="1235" spans="1:5" x14ac:dyDescent="0.3">
      <c r="A1235" s="1">
        <v>1600</v>
      </c>
      <c r="B1235" s="3">
        <v>1993</v>
      </c>
      <c r="C1235" s="5">
        <v>2017</v>
      </c>
      <c r="D1235" s="1">
        <v>11</v>
      </c>
      <c r="E1235" s="8" t="s">
        <v>88</v>
      </c>
    </row>
    <row r="1236" spans="1:5" x14ac:dyDescent="0.3">
      <c r="A1236" s="1">
        <v>1611</v>
      </c>
      <c r="B1236" s="3">
        <v>1995</v>
      </c>
      <c r="C1236" s="5">
        <v>2010</v>
      </c>
      <c r="D1236" s="1">
        <v>3</v>
      </c>
      <c r="E1236" s="8" t="s">
        <v>88</v>
      </c>
    </row>
    <row r="1237" spans="1:5" x14ac:dyDescent="0.3">
      <c r="A1237" s="1">
        <v>1373</v>
      </c>
      <c r="B1237" s="3">
        <v>1995</v>
      </c>
      <c r="C1237" s="5">
        <v>2017</v>
      </c>
      <c r="D1237" s="1">
        <v>12</v>
      </c>
      <c r="E1237" s="8" t="s">
        <v>88</v>
      </c>
    </row>
    <row r="1238" spans="1:5" x14ac:dyDescent="0.3">
      <c r="A1238" s="1">
        <v>1605</v>
      </c>
      <c r="B1238" s="3">
        <v>2007</v>
      </c>
      <c r="C1238" s="5">
        <v>2013</v>
      </c>
      <c r="D1238" s="1">
        <v>5</v>
      </c>
      <c r="E1238" s="8" t="s">
        <v>88</v>
      </c>
    </row>
    <row r="1239" spans="1:5" x14ac:dyDescent="0.3">
      <c r="A1239" s="1">
        <v>1586</v>
      </c>
      <c r="B1239" s="3">
        <v>2007</v>
      </c>
      <c r="C1239" s="5">
        <v>2017</v>
      </c>
      <c r="D1239" s="1">
        <v>5</v>
      </c>
      <c r="E1239" s="8" t="s">
        <v>88</v>
      </c>
    </row>
    <row r="1240" spans="1:5" x14ac:dyDescent="0.3">
      <c r="A1240" s="1">
        <v>1646</v>
      </c>
      <c r="B1240" s="3">
        <v>2008</v>
      </c>
      <c r="C1240" s="5">
        <v>2008</v>
      </c>
      <c r="D1240" s="1">
        <v>1</v>
      </c>
      <c r="E1240" s="8" t="s">
        <v>88</v>
      </c>
    </row>
    <row r="1241" spans="1:5" x14ac:dyDescent="0.3">
      <c r="A1241" s="1">
        <v>1650</v>
      </c>
      <c r="B1241" s="3">
        <v>2008</v>
      </c>
      <c r="C1241" s="5">
        <v>2015</v>
      </c>
      <c r="D1241" s="1">
        <v>7</v>
      </c>
      <c r="E1241" s="8" t="s">
        <v>88</v>
      </c>
    </row>
    <row r="1242" spans="1:5" x14ac:dyDescent="0.3">
      <c r="A1242" s="1">
        <v>1591</v>
      </c>
      <c r="B1242" s="3">
        <v>2009</v>
      </c>
      <c r="C1242" s="5">
        <v>2010</v>
      </c>
      <c r="D1242" s="1">
        <v>2</v>
      </c>
      <c r="E1242" s="8" t="s">
        <v>88</v>
      </c>
    </row>
    <row r="1243" spans="1:5" x14ac:dyDescent="0.3">
      <c r="A1243" s="1">
        <v>1378</v>
      </c>
      <c r="B1243" s="3">
        <v>2012</v>
      </c>
      <c r="C1243" s="5">
        <v>2012</v>
      </c>
      <c r="D1243" s="1">
        <v>1</v>
      </c>
      <c r="E1243" s="8" t="s">
        <v>88</v>
      </c>
    </row>
    <row r="1244" spans="1:5" x14ac:dyDescent="0.3">
      <c r="A1244" s="1">
        <v>1398</v>
      </c>
      <c r="B1244" s="3">
        <v>2012</v>
      </c>
      <c r="C1244" s="5">
        <v>2014</v>
      </c>
      <c r="D1244" s="1">
        <v>3</v>
      </c>
      <c r="E1244" s="8" t="s">
        <v>88</v>
      </c>
    </row>
    <row r="1245" spans="1:5" x14ac:dyDescent="0.3">
      <c r="A1245" s="1">
        <v>2077</v>
      </c>
      <c r="B1245" s="3">
        <v>2018</v>
      </c>
      <c r="C1245" s="5">
        <v>2018</v>
      </c>
      <c r="D1245" s="1">
        <v>1</v>
      </c>
      <c r="E1245" s="8" t="s">
        <v>88</v>
      </c>
    </row>
    <row r="1246" spans="1:5" x14ac:dyDescent="0.3">
      <c r="A1246" s="1">
        <v>1810</v>
      </c>
      <c r="B1246" s="3">
        <v>2007</v>
      </c>
      <c r="C1246" s="5">
        <v>2007</v>
      </c>
      <c r="D1246" s="1">
        <v>1</v>
      </c>
      <c r="E1246" s="8" t="s">
        <v>289</v>
      </c>
    </row>
    <row r="1247" spans="1:5" x14ac:dyDescent="0.3">
      <c r="A1247" s="1">
        <v>1767</v>
      </c>
      <c r="B1247" s="3">
        <v>2011</v>
      </c>
      <c r="C1247" s="5">
        <v>2015</v>
      </c>
      <c r="D1247" s="1">
        <v>3</v>
      </c>
      <c r="E1247" s="8" t="s">
        <v>112</v>
      </c>
    </row>
    <row r="1248" spans="1:5" x14ac:dyDescent="0.3">
      <c r="A1248" s="1">
        <v>2229</v>
      </c>
      <c r="B1248" s="3">
        <v>2017</v>
      </c>
      <c r="C1248" s="5">
        <v>2017</v>
      </c>
      <c r="D1248" s="1">
        <v>1</v>
      </c>
      <c r="E1248" s="8" t="s">
        <v>112</v>
      </c>
    </row>
    <row r="1249" spans="1:5" x14ac:dyDescent="0.3">
      <c r="A1249" s="1">
        <v>1467</v>
      </c>
      <c r="B1249" s="3">
        <v>1994</v>
      </c>
      <c r="C1249" s="5">
        <v>2011</v>
      </c>
      <c r="D1249" s="1">
        <v>5</v>
      </c>
      <c r="E1249" s="8" t="s">
        <v>32</v>
      </c>
    </row>
    <row r="1250" spans="1:5" x14ac:dyDescent="0.3">
      <c r="A1250" s="1">
        <v>1393</v>
      </c>
      <c r="B1250" s="3">
        <v>1998</v>
      </c>
      <c r="C1250" s="5">
        <v>2017</v>
      </c>
      <c r="D1250" s="1">
        <v>16</v>
      </c>
      <c r="E1250" s="8" t="s">
        <v>32</v>
      </c>
    </row>
    <row r="1251" spans="1:5" x14ac:dyDescent="0.3">
      <c r="A1251" s="1">
        <v>1307</v>
      </c>
      <c r="B1251" s="3">
        <v>2007</v>
      </c>
      <c r="C1251" s="5">
        <v>2010</v>
      </c>
      <c r="D1251" s="1">
        <v>4</v>
      </c>
      <c r="E1251" s="8" t="s">
        <v>32</v>
      </c>
    </row>
    <row r="1252" spans="1:5" x14ac:dyDescent="0.3">
      <c r="A1252" s="1">
        <v>1306</v>
      </c>
      <c r="B1252" s="3">
        <v>2007</v>
      </c>
      <c r="C1252" s="5">
        <v>2015</v>
      </c>
      <c r="D1252" s="1">
        <v>7</v>
      </c>
      <c r="E1252" s="8" t="s">
        <v>32</v>
      </c>
    </row>
    <row r="1253" spans="1:5" x14ac:dyDescent="0.3">
      <c r="A1253" s="1">
        <v>1115</v>
      </c>
      <c r="B1253" s="3">
        <v>2007</v>
      </c>
      <c r="C1253" s="5">
        <v>2017</v>
      </c>
      <c r="D1253" s="1">
        <v>11</v>
      </c>
      <c r="E1253" s="8" t="s">
        <v>32</v>
      </c>
    </row>
    <row r="1254" spans="1:5" x14ac:dyDescent="0.3">
      <c r="A1254" s="1">
        <v>1337</v>
      </c>
      <c r="B1254" s="3">
        <v>2007</v>
      </c>
      <c r="C1254" s="5">
        <v>2017</v>
      </c>
      <c r="D1254" s="1">
        <v>17</v>
      </c>
      <c r="E1254" s="8" t="s">
        <v>32</v>
      </c>
    </row>
    <row r="1255" spans="1:5" x14ac:dyDescent="0.3">
      <c r="A1255" s="1">
        <v>1338</v>
      </c>
      <c r="B1255" s="3">
        <v>2007</v>
      </c>
      <c r="C1255" s="5">
        <v>2017</v>
      </c>
      <c r="D1255" s="1">
        <v>17</v>
      </c>
      <c r="E1255" s="8" t="s">
        <v>32</v>
      </c>
    </row>
    <row r="1256" spans="1:5" x14ac:dyDescent="0.3">
      <c r="A1256" s="1">
        <v>1052</v>
      </c>
      <c r="B1256" s="3">
        <v>2008</v>
      </c>
      <c r="C1256" s="5">
        <v>2016</v>
      </c>
      <c r="D1256" s="1">
        <v>8</v>
      </c>
      <c r="E1256" s="8" t="s">
        <v>32</v>
      </c>
    </row>
    <row r="1257" spans="1:5" x14ac:dyDescent="0.3">
      <c r="A1257" s="1">
        <v>1390</v>
      </c>
      <c r="B1257" s="3">
        <v>2009</v>
      </c>
      <c r="C1257" s="5">
        <v>2009</v>
      </c>
      <c r="D1257" s="1">
        <v>1</v>
      </c>
      <c r="E1257" s="8" t="s">
        <v>32</v>
      </c>
    </row>
    <row r="1258" spans="1:5" x14ac:dyDescent="0.3">
      <c r="A1258" s="1">
        <v>1392</v>
      </c>
      <c r="B1258" s="3">
        <v>2009</v>
      </c>
      <c r="C1258" s="5">
        <v>2009</v>
      </c>
      <c r="D1258" s="1">
        <v>1</v>
      </c>
      <c r="E1258" s="8" t="s">
        <v>32</v>
      </c>
    </row>
    <row r="1259" spans="1:5" x14ac:dyDescent="0.3">
      <c r="A1259" s="1">
        <v>1394</v>
      </c>
      <c r="B1259" s="3">
        <v>2009</v>
      </c>
      <c r="C1259" s="5">
        <v>2011</v>
      </c>
      <c r="D1259" s="1">
        <v>2</v>
      </c>
      <c r="E1259" s="8" t="s">
        <v>32</v>
      </c>
    </row>
    <row r="1260" spans="1:5" x14ac:dyDescent="0.3">
      <c r="A1260" s="1">
        <v>1391</v>
      </c>
      <c r="B1260" s="3">
        <v>2012</v>
      </c>
      <c r="C1260" s="5">
        <v>2014</v>
      </c>
      <c r="D1260" s="1">
        <v>2</v>
      </c>
      <c r="E1260" s="8" t="s">
        <v>32</v>
      </c>
    </row>
    <row r="1261" spans="1:5" x14ac:dyDescent="0.3">
      <c r="A1261" s="1">
        <v>1520</v>
      </c>
      <c r="B1261" s="3">
        <v>2013</v>
      </c>
      <c r="C1261" s="5">
        <v>2013</v>
      </c>
      <c r="D1261" s="1">
        <v>1</v>
      </c>
      <c r="E1261" s="8" t="s">
        <v>32</v>
      </c>
    </row>
    <row r="1262" spans="1:5" x14ac:dyDescent="0.3">
      <c r="A1262" s="1">
        <v>1770</v>
      </c>
      <c r="B1262" s="3">
        <v>2008</v>
      </c>
      <c r="C1262" s="5">
        <v>2017</v>
      </c>
      <c r="D1262" s="1">
        <v>13</v>
      </c>
      <c r="E1262" s="8" t="s">
        <v>112</v>
      </c>
    </row>
    <row r="1263" spans="1:5" x14ac:dyDescent="0.3">
      <c r="A1263" s="1">
        <v>1210</v>
      </c>
      <c r="B1263" s="3">
        <v>2014</v>
      </c>
      <c r="C1263" s="5">
        <v>2016</v>
      </c>
      <c r="D1263" s="1">
        <v>4</v>
      </c>
      <c r="E1263" s="8" t="s">
        <v>32</v>
      </c>
    </row>
    <row r="1264" spans="1:5" x14ac:dyDescent="0.3">
      <c r="A1264" s="1">
        <v>1490</v>
      </c>
      <c r="B1264" s="3">
        <v>2014</v>
      </c>
      <c r="C1264" s="5">
        <v>2016</v>
      </c>
      <c r="D1264" s="1">
        <v>3</v>
      </c>
      <c r="E1264" s="8" t="s">
        <v>32</v>
      </c>
    </row>
    <row r="1265" spans="1:6" x14ac:dyDescent="0.3">
      <c r="A1265" s="1">
        <v>1524</v>
      </c>
      <c r="B1265" s="3">
        <v>2014</v>
      </c>
      <c r="C1265" s="5">
        <v>2017</v>
      </c>
      <c r="D1265" s="1">
        <v>3</v>
      </c>
      <c r="E1265" s="8" t="s">
        <v>32</v>
      </c>
    </row>
    <row r="1266" spans="1:6" x14ac:dyDescent="0.3">
      <c r="A1266" s="1">
        <v>1953</v>
      </c>
      <c r="B1266" s="3">
        <v>2015</v>
      </c>
      <c r="C1266" s="5">
        <v>2015</v>
      </c>
      <c r="D1266" s="7">
        <v>1</v>
      </c>
      <c r="E1266" s="8" t="s">
        <v>32</v>
      </c>
    </row>
    <row r="1267" spans="1:6" x14ac:dyDescent="0.3">
      <c r="D1267" s="1">
        <f>SUM(D2:D1266)</f>
        <v>5517</v>
      </c>
      <c r="E1267" t="s">
        <v>308</v>
      </c>
    </row>
    <row r="1268" spans="1:6" x14ac:dyDescent="0.3">
      <c r="D1268" s="16" t="s">
        <v>309</v>
      </c>
      <c r="E1268" s="23">
        <f>D1267/1265</f>
        <v>4.3612648221343875</v>
      </c>
    </row>
    <row r="1269" spans="1:6" x14ac:dyDescent="0.3">
      <c r="E1269" s="8"/>
    </row>
    <row r="1270" spans="1:6" x14ac:dyDescent="0.3">
      <c r="A1270" s="25" t="s">
        <v>0</v>
      </c>
      <c r="B1270" s="26" t="s">
        <v>142</v>
      </c>
      <c r="C1270" s="27" t="s">
        <v>143</v>
      </c>
      <c r="D1270" s="25" t="s">
        <v>1</v>
      </c>
      <c r="E1270" s="27" t="s">
        <v>144</v>
      </c>
      <c r="F1270" s="28" t="s">
        <v>146</v>
      </c>
    </row>
    <row r="1273" spans="1:6" x14ac:dyDescent="0.3">
      <c r="E1273" s="8"/>
    </row>
  </sheetData>
  <sortState xmlns:xlrd2="http://schemas.microsoft.com/office/spreadsheetml/2017/richdata2" ref="A305:F1266">
    <sortCondition ref="E305:E1266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426B-58A3-4C5C-9033-E940E1731FC4}">
  <dimension ref="A1:I170"/>
  <sheetViews>
    <sheetView topLeftCell="A115" zoomScale="90" zoomScaleNormal="90" workbookViewId="0">
      <selection activeCell="A132" sqref="A132"/>
    </sheetView>
  </sheetViews>
  <sheetFormatPr defaultRowHeight="14.4" x14ac:dyDescent="0.3"/>
  <cols>
    <col min="1" max="1" width="31.44140625" customWidth="1"/>
    <col min="2" max="2" width="8" style="1" bestFit="1" customWidth="1"/>
    <col min="3" max="3" width="8.5546875" customWidth="1"/>
    <col min="4" max="4" width="8.21875" style="1" customWidth="1"/>
    <col min="5" max="5" width="14.6640625" customWidth="1"/>
    <col min="6" max="6" width="12.5546875" customWidth="1"/>
    <col min="8" max="8" width="24.109375" customWidth="1"/>
  </cols>
  <sheetData>
    <row r="1" spans="1:9" x14ac:dyDescent="0.3">
      <c r="A1" s="19" t="s">
        <v>298</v>
      </c>
      <c r="B1" s="1">
        <v>0.15</v>
      </c>
      <c r="C1" t="s">
        <v>295</v>
      </c>
    </row>
    <row r="2" spans="1:9" ht="7.2" customHeight="1" x14ac:dyDescent="0.3"/>
    <row r="3" spans="1:9" ht="31.8" customHeight="1" x14ac:dyDescent="0.3">
      <c r="A3" s="18" t="s">
        <v>330</v>
      </c>
      <c r="B3" s="18" t="s">
        <v>294</v>
      </c>
      <c r="C3" s="18" t="s">
        <v>293</v>
      </c>
      <c r="D3" s="18" t="s">
        <v>297</v>
      </c>
      <c r="E3" s="18" t="s">
        <v>292</v>
      </c>
      <c r="F3" s="18" t="s">
        <v>296</v>
      </c>
      <c r="G3" s="18" t="s">
        <v>299</v>
      </c>
    </row>
    <row r="4" spans="1:9" x14ac:dyDescent="0.3">
      <c r="A4" s="8" t="s">
        <v>4</v>
      </c>
      <c r="B4" s="5">
        <f t="shared" ref="B4:B35" si="0">ROUND(B$1*C4,0)</f>
        <v>9</v>
      </c>
      <c r="C4" s="1">
        <f>_xlfn.XLOOKUP(A4,[1]Sheet1!$B$2:$B$115,[1]Sheet1!$F$2:$F$115)</f>
        <v>57</v>
      </c>
      <c r="D4" s="1">
        <f t="shared" ref="D4:D35" si="1">ROUND(47*B4*(B$1+1)/(2*B$1),0)</f>
        <v>1622</v>
      </c>
      <c r="E4" s="1">
        <f>SUMIF(data!$E$313:$E$1266,stats!A4,data!$D$313:$D$1266)</f>
        <v>468</v>
      </c>
      <c r="F4" s="17">
        <f t="shared" ref="F4:F35" si="2">E4/D4</f>
        <v>0.28853267570900121</v>
      </c>
      <c r="G4" s="1">
        <v>171</v>
      </c>
      <c r="I4" s="20"/>
    </row>
    <row r="5" spans="1:9" x14ac:dyDescent="0.3">
      <c r="A5" s="8" t="s">
        <v>16</v>
      </c>
      <c r="B5" s="5">
        <f t="shared" si="0"/>
        <v>4</v>
      </c>
      <c r="C5" s="1">
        <f>_xlfn.XLOOKUP(A5,[1]Sheet1!$B$2:$B$115,[1]Sheet1!$F$2:$F$115)</f>
        <v>26</v>
      </c>
      <c r="D5" s="1">
        <f t="shared" si="1"/>
        <v>721</v>
      </c>
      <c r="E5" s="1">
        <f>SUMIF(data!$E$313:$E$1266,stats!A5,data!$D$313:$D$1266)</f>
        <v>166</v>
      </c>
      <c r="F5" s="17">
        <f t="shared" si="2"/>
        <v>0.2302357836338419</v>
      </c>
      <c r="G5" s="1">
        <v>142</v>
      </c>
      <c r="I5" s="20"/>
    </row>
    <row r="6" spans="1:9" x14ac:dyDescent="0.3">
      <c r="A6" s="8" t="s">
        <v>37</v>
      </c>
      <c r="B6" s="5">
        <f t="shared" si="0"/>
        <v>1</v>
      </c>
      <c r="C6" s="1">
        <f>_xlfn.XLOOKUP(A6,[1]Sheet1!$B$2:$B$115,[1]Sheet1!$F$2:$F$115)</f>
        <v>9</v>
      </c>
      <c r="D6" s="1">
        <f t="shared" si="1"/>
        <v>180</v>
      </c>
      <c r="E6" s="1">
        <f>SUMIF(data!$E$313:$E$1266,stats!A6,data!$D$313:$D$1266)</f>
        <v>39</v>
      </c>
      <c r="F6" s="17">
        <f t="shared" si="2"/>
        <v>0.21666666666666667</v>
      </c>
      <c r="G6" s="1">
        <v>180</v>
      </c>
      <c r="I6" s="20"/>
    </row>
    <row r="7" spans="1:9" x14ac:dyDescent="0.3">
      <c r="A7" s="8" t="s">
        <v>21</v>
      </c>
      <c r="B7" s="5">
        <f t="shared" si="0"/>
        <v>2</v>
      </c>
      <c r="C7" s="1">
        <f>_xlfn.XLOOKUP(A7,[1]Sheet1!$B$2:$B$115,[1]Sheet1!$F$2:$F$115)</f>
        <v>11</v>
      </c>
      <c r="D7" s="1">
        <f t="shared" si="1"/>
        <v>360</v>
      </c>
      <c r="E7" s="1">
        <f>SUMIF(data!$E$313:$E$1266,stats!A7,data!$D$313:$D$1266)</f>
        <v>68</v>
      </c>
      <c r="F7" s="17">
        <f t="shared" si="2"/>
        <v>0.18888888888888888</v>
      </c>
      <c r="G7" s="1">
        <v>287</v>
      </c>
      <c r="I7" s="20"/>
    </row>
    <row r="8" spans="1:9" x14ac:dyDescent="0.3">
      <c r="A8" s="8" t="s">
        <v>31</v>
      </c>
      <c r="B8" s="5">
        <f t="shared" si="0"/>
        <v>5</v>
      </c>
      <c r="C8" s="1">
        <f>_xlfn.XLOOKUP(A8,[1]Sheet1!$B$2:$B$115,[1]Sheet1!$F$2:$F$115)</f>
        <v>35</v>
      </c>
      <c r="D8" s="1">
        <f t="shared" si="1"/>
        <v>901</v>
      </c>
      <c r="E8" s="1">
        <f>SUMIF(data!$E$313:$E$1266,stats!A8,data!$D$313:$D$1266)</f>
        <v>162</v>
      </c>
      <c r="F8" s="17">
        <f t="shared" si="2"/>
        <v>0.17980022197558268</v>
      </c>
      <c r="G8" s="1">
        <v>79</v>
      </c>
      <c r="I8" s="20"/>
    </row>
    <row r="9" spans="1:9" x14ac:dyDescent="0.3">
      <c r="A9" s="8" t="s">
        <v>88</v>
      </c>
      <c r="B9" s="5">
        <f t="shared" si="0"/>
        <v>5</v>
      </c>
      <c r="C9" s="1">
        <f>_xlfn.XLOOKUP(A9,[1]Sheet1!$B$2:$B$115,[1]Sheet1!$F$2:$F$115)</f>
        <v>31</v>
      </c>
      <c r="D9" s="1">
        <f t="shared" si="1"/>
        <v>901</v>
      </c>
      <c r="E9" s="1">
        <f>SUMIF(data!$E$313:$E$1266,stats!A9,data!$D$313:$D$1266)</f>
        <v>156</v>
      </c>
      <c r="F9" s="17">
        <f t="shared" si="2"/>
        <v>0.17314095449500555</v>
      </c>
      <c r="G9" s="1">
        <v>65</v>
      </c>
      <c r="I9" s="20"/>
    </row>
    <row r="10" spans="1:9" x14ac:dyDescent="0.3">
      <c r="A10" s="8" t="s">
        <v>41</v>
      </c>
      <c r="B10" s="5">
        <f t="shared" si="0"/>
        <v>5</v>
      </c>
      <c r="C10" s="1">
        <f>_xlfn.XLOOKUP(A10,[1]Sheet1!$B$2:$B$115,[1]Sheet1!$F$2:$F$115)</f>
        <v>36</v>
      </c>
      <c r="D10" s="1">
        <f t="shared" si="1"/>
        <v>901</v>
      </c>
      <c r="E10" s="1">
        <f>SUMIF(data!$E$313:$E$1266,stats!A10,data!$D$313:$D$1266)</f>
        <v>141</v>
      </c>
      <c r="F10" s="17">
        <f t="shared" si="2"/>
        <v>0.15649278579356271</v>
      </c>
      <c r="G10" s="1">
        <v>97</v>
      </c>
      <c r="I10" s="20"/>
    </row>
    <row r="11" spans="1:9" x14ac:dyDescent="0.3">
      <c r="A11" s="8" t="s">
        <v>3</v>
      </c>
      <c r="B11" s="5">
        <f t="shared" si="0"/>
        <v>12</v>
      </c>
      <c r="C11" s="1">
        <f>_xlfn.XLOOKUP(A11,[1]Sheet1!$B$2:$B$115,[1]Sheet1!$F$2:$F$115)</f>
        <v>81</v>
      </c>
      <c r="D11" s="1">
        <f t="shared" si="1"/>
        <v>2162</v>
      </c>
      <c r="E11" s="1">
        <f>SUMIF(data!$E$313:$E$1266,stats!A11,data!$D$313:$D$1266)</f>
        <v>326</v>
      </c>
      <c r="F11" s="17">
        <f t="shared" si="2"/>
        <v>0.15078630897317299</v>
      </c>
      <c r="G11" s="1">
        <v>71</v>
      </c>
      <c r="I11" s="20"/>
    </row>
    <row r="12" spans="1:9" x14ac:dyDescent="0.3">
      <c r="A12" s="8" t="s">
        <v>7</v>
      </c>
      <c r="B12" s="5">
        <f t="shared" si="0"/>
        <v>5</v>
      </c>
      <c r="C12" s="1">
        <f>_xlfn.XLOOKUP(A12,[1]Sheet1!$B$2:$B$115,[1]Sheet1!$F$2:$F$115)</f>
        <v>33</v>
      </c>
      <c r="D12" s="1">
        <f t="shared" si="1"/>
        <v>901</v>
      </c>
      <c r="E12" s="1">
        <f>SUMIF(data!$E$313:$E$1266,stats!A12,data!$D$313:$D$1266)</f>
        <v>134</v>
      </c>
      <c r="F12" s="17">
        <f t="shared" si="2"/>
        <v>0.14872364039955605</v>
      </c>
      <c r="G12" s="1">
        <v>128</v>
      </c>
      <c r="I12" s="20"/>
    </row>
    <row r="13" spans="1:9" x14ac:dyDescent="0.3">
      <c r="A13" s="8" t="s">
        <v>14</v>
      </c>
      <c r="B13" s="5">
        <f t="shared" si="0"/>
        <v>4</v>
      </c>
      <c r="C13" s="1">
        <f>_xlfn.XLOOKUP(A13,[1]Sheet1!$B$2:$B$115,[1]Sheet1!$F$2:$F$115)</f>
        <v>25</v>
      </c>
      <c r="D13" s="1">
        <f t="shared" si="1"/>
        <v>721</v>
      </c>
      <c r="E13" s="1">
        <f>SUMIF(data!$E$313:$E$1266,stats!A13,data!$D$313:$D$1266)</f>
        <v>88</v>
      </c>
      <c r="F13" s="17">
        <f t="shared" si="2"/>
        <v>0.12205270457697642</v>
      </c>
      <c r="G13" s="1">
        <v>70</v>
      </c>
      <c r="I13" s="20"/>
    </row>
    <row r="14" spans="1:9" x14ac:dyDescent="0.3">
      <c r="A14" s="8" t="s">
        <v>28</v>
      </c>
      <c r="B14" s="5">
        <f t="shared" si="0"/>
        <v>4</v>
      </c>
      <c r="C14" s="1">
        <f>_xlfn.XLOOKUP(A14,[1]Sheet1!$B$2:$B$115,[1]Sheet1!$F$2:$F$115)</f>
        <v>28</v>
      </c>
      <c r="D14" s="1">
        <f t="shared" si="1"/>
        <v>721</v>
      </c>
      <c r="E14" s="1">
        <f>SUMIF(data!$E$313:$E$1266,stats!A14,data!$D$313:$D$1266)</f>
        <v>85</v>
      </c>
      <c r="F14" s="17">
        <f t="shared" si="2"/>
        <v>0.11789181692094314</v>
      </c>
      <c r="G14" s="1">
        <v>77</v>
      </c>
      <c r="I14" s="20"/>
    </row>
    <row r="15" spans="1:9" x14ac:dyDescent="0.3">
      <c r="A15" s="8" t="s">
        <v>6</v>
      </c>
      <c r="B15" s="5">
        <f t="shared" si="0"/>
        <v>10</v>
      </c>
      <c r="C15" s="1">
        <f>_xlfn.XLOOKUP(A15,[1]Sheet1!$B$2:$B$115,[1]Sheet1!$F$2:$F$115)</f>
        <v>68</v>
      </c>
      <c r="D15" s="1">
        <f t="shared" si="1"/>
        <v>1802</v>
      </c>
      <c r="E15" s="1">
        <f>SUMIF(data!$E$313:$E$1266,stats!A15,data!$D$313:$D$1266)</f>
        <v>211</v>
      </c>
      <c r="F15" s="17">
        <f t="shared" si="2"/>
        <v>0.11709211986681466</v>
      </c>
      <c r="G15" s="1">
        <v>189</v>
      </c>
      <c r="I15" s="20"/>
    </row>
    <row r="16" spans="1:9" x14ac:dyDescent="0.3">
      <c r="A16" s="8" t="s">
        <v>32</v>
      </c>
      <c r="B16" s="5">
        <f t="shared" si="0"/>
        <v>5</v>
      </c>
      <c r="C16" s="1">
        <f>_xlfn.XLOOKUP(A16,[1]Sheet1!$B$2:$B$115,[1]Sheet1!$F$2:$F$115)</f>
        <v>32</v>
      </c>
      <c r="D16" s="1">
        <f t="shared" si="1"/>
        <v>901</v>
      </c>
      <c r="E16" s="1">
        <f>SUMIF(data!$E$313:$E$1266,stats!A16,data!$D$313:$D$1266)</f>
        <v>103</v>
      </c>
      <c r="F16" s="17">
        <f t="shared" si="2"/>
        <v>0.11431742508324085</v>
      </c>
      <c r="G16" s="1">
        <v>223</v>
      </c>
      <c r="I16" s="20"/>
    </row>
    <row r="17" spans="1:9" x14ac:dyDescent="0.3">
      <c r="A17" s="8" t="s">
        <v>10</v>
      </c>
      <c r="B17" s="5">
        <f t="shared" si="0"/>
        <v>5</v>
      </c>
      <c r="C17" s="1">
        <f>_xlfn.XLOOKUP(A17,[1]Sheet1!$B$2:$B$115,[1]Sheet1!$F$2:$F$115)</f>
        <v>31</v>
      </c>
      <c r="D17" s="1">
        <f t="shared" si="1"/>
        <v>901</v>
      </c>
      <c r="E17" s="1">
        <f>SUMIF(data!$E$313:$E$1266,stats!A17,data!$D$313:$D$1266)</f>
        <v>102</v>
      </c>
      <c r="F17" s="17">
        <f t="shared" si="2"/>
        <v>0.11320754716981132</v>
      </c>
      <c r="G17" s="1">
        <v>199</v>
      </c>
      <c r="I17" s="20"/>
    </row>
    <row r="18" spans="1:9" x14ac:dyDescent="0.3">
      <c r="A18" s="8" t="s">
        <v>20</v>
      </c>
      <c r="B18" s="5">
        <f t="shared" si="0"/>
        <v>5</v>
      </c>
      <c r="C18" s="1">
        <f>_xlfn.XLOOKUP(A18,[1]Sheet1!$B$2:$B$115,[1]Sheet1!$F$2:$F$115)</f>
        <v>35</v>
      </c>
      <c r="D18" s="1">
        <f t="shared" si="1"/>
        <v>901</v>
      </c>
      <c r="E18" s="1">
        <f>SUMIF(data!$E$313:$E$1266,stats!A18,data!$D$313:$D$1266)</f>
        <v>98</v>
      </c>
      <c r="F18" s="17">
        <f t="shared" si="2"/>
        <v>0.10876803551609324</v>
      </c>
      <c r="G18" s="1">
        <v>74</v>
      </c>
      <c r="I18" s="20"/>
    </row>
    <row r="19" spans="1:9" x14ac:dyDescent="0.3">
      <c r="A19" s="8" t="s">
        <v>47</v>
      </c>
      <c r="B19" s="5">
        <f t="shared" si="0"/>
        <v>6</v>
      </c>
      <c r="C19" s="1">
        <f>_xlfn.XLOOKUP(A19,[1]Sheet1!$B$2:$B$115,[1]Sheet1!$F$2:$F$115)</f>
        <v>42</v>
      </c>
      <c r="D19" s="1">
        <f t="shared" si="1"/>
        <v>1081</v>
      </c>
      <c r="E19" s="1">
        <f>SUMIF(data!$E$313:$E$1266,stats!A19,data!$D$313:$D$1266)</f>
        <v>116</v>
      </c>
      <c r="F19" s="17">
        <f t="shared" si="2"/>
        <v>0.10730804810360776</v>
      </c>
      <c r="G19" s="1">
        <v>118</v>
      </c>
      <c r="I19" s="20"/>
    </row>
    <row r="20" spans="1:9" x14ac:dyDescent="0.3">
      <c r="A20" s="8" t="s">
        <v>33</v>
      </c>
      <c r="B20" s="5">
        <f t="shared" si="0"/>
        <v>7</v>
      </c>
      <c r="C20" s="1">
        <f>_xlfn.XLOOKUP(A20,[1]Sheet1!$B$2:$B$115,[1]Sheet1!$F$2:$F$115)</f>
        <v>48</v>
      </c>
      <c r="D20" s="1">
        <f t="shared" si="1"/>
        <v>1261</v>
      </c>
      <c r="E20" s="1">
        <f>SUMIF(data!$E$313:$E$1266,stats!A20,data!$D$313:$D$1266)</f>
        <v>122</v>
      </c>
      <c r="F20" s="17">
        <f t="shared" si="2"/>
        <v>9.6748612212529742E-2</v>
      </c>
      <c r="G20" s="1">
        <v>40</v>
      </c>
      <c r="I20" s="20"/>
    </row>
    <row r="21" spans="1:9" x14ac:dyDescent="0.3">
      <c r="A21" s="8" t="s">
        <v>12</v>
      </c>
      <c r="B21" s="5">
        <f t="shared" si="0"/>
        <v>8</v>
      </c>
      <c r="C21" s="1">
        <f>_xlfn.XLOOKUP(A21,[1]Sheet1!$B$2:$B$115,[1]Sheet1!$F$2:$F$115)</f>
        <v>56</v>
      </c>
      <c r="D21" s="1">
        <f t="shared" si="1"/>
        <v>1441</v>
      </c>
      <c r="E21" s="1">
        <f>SUMIF(data!$E$313:$E$1266,stats!A21,data!$D$313:$D$1266)</f>
        <v>135</v>
      </c>
      <c r="F21" s="17">
        <f t="shared" si="2"/>
        <v>9.3684941013185294E-2</v>
      </c>
      <c r="G21" s="1">
        <v>102</v>
      </c>
      <c r="I21" s="20"/>
    </row>
    <row r="22" spans="1:9" x14ac:dyDescent="0.3">
      <c r="A22" s="8" t="s">
        <v>30</v>
      </c>
      <c r="B22" s="5">
        <f t="shared" si="0"/>
        <v>5</v>
      </c>
      <c r="C22" s="1">
        <f>_xlfn.XLOOKUP(A22,[1]Sheet1!$B$2:$B$115,[1]Sheet1!$F$2:$F$115)</f>
        <v>35</v>
      </c>
      <c r="D22" s="1">
        <f t="shared" si="1"/>
        <v>901</v>
      </c>
      <c r="E22" s="1">
        <f>SUMIF(data!$E$313:$E$1266,stats!A22,data!$D$313:$D$1266)</f>
        <v>77</v>
      </c>
      <c r="F22" s="17">
        <f t="shared" si="2"/>
        <v>8.5460599334073253E-2</v>
      </c>
      <c r="G22" s="1">
        <v>221</v>
      </c>
      <c r="I22" s="20"/>
    </row>
    <row r="23" spans="1:9" x14ac:dyDescent="0.3">
      <c r="A23" s="8" t="s">
        <v>39</v>
      </c>
      <c r="B23" s="5">
        <f t="shared" si="0"/>
        <v>9</v>
      </c>
      <c r="C23" s="1">
        <f>_xlfn.XLOOKUP(A23,[1]Sheet1!$B$2:$B$115,[1]Sheet1!$F$2:$F$115)</f>
        <v>63</v>
      </c>
      <c r="D23" s="1">
        <f t="shared" si="1"/>
        <v>1622</v>
      </c>
      <c r="E23" s="1">
        <f>SUMIF(data!$E$313:$E$1266,stats!A23,data!$D$313:$D$1266)</f>
        <v>137</v>
      </c>
      <c r="F23" s="17">
        <f t="shared" si="2"/>
        <v>8.4463625154130709E-2</v>
      </c>
      <c r="G23" s="1">
        <v>112</v>
      </c>
      <c r="I23" s="20"/>
    </row>
    <row r="24" spans="1:9" x14ac:dyDescent="0.3">
      <c r="A24" s="8" t="s">
        <v>18</v>
      </c>
      <c r="B24" s="5">
        <f t="shared" si="0"/>
        <v>11</v>
      </c>
      <c r="C24" s="1">
        <f>_xlfn.XLOOKUP(A24,[1]Sheet1!$B$2:$B$115,[1]Sheet1!$F$2:$F$115)</f>
        <v>76</v>
      </c>
      <c r="D24" s="1">
        <f t="shared" si="1"/>
        <v>1982</v>
      </c>
      <c r="E24" s="1">
        <f>SUMIF(data!$E$313:$E$1266,stats!A24,data!$D$313:$D$1266)</f>
        <v>160</v>
      </c>
      <c r="F24" s="17">
        <f t="shared" si="2"/>
        <v>8.0726538849646826E-2</v>
      </c>
      <c r="G24" s="1">
        <v>196</v>
      </c>
      <c r="I24" s="20"/>
    </row>
    <row r="25" spans="1:9" x14ac:dyDescent="0.3">
      <c r="A25" s="8" t="s">
        <v>8</v>
      </c>
      <c r="B25" s="5">
        <f t="shared" si="0"/>
        <v>6</v>
      </c>
      <c r="C25" s="1">
        <f>_xlfn.XLOOKUP(A25,[1]Sheet1!$B$2:$B$115,[1]Sheet1!$F$2:$F$115)</f>
        <v>39</v>
      </c>
      <c r="D25" s="1">
        <f t="shared" si="1"/>
        <v>1081</v>
      </c>
      <c r="E25" s="1">
        <f>SUMIF(data!$E$313:$E$1266,stats!A25,data!$D$313:$D$1266)</f>
        <v>87</v>
      </c>
      <c r="F25" s="17">
        <f t="shared" si="2"/>
        <v>8.0481036077705834E-2</v>
      </c>
      <c r="G25" s="1">
        <v>95</v>
      </c>
      <c r="I25" s="20"/>
    </row>
    <row r="26" spans="1:9" x14ac:dyDescent="0.3">
      <c r="A26" s="8" t="s">
        <v>22</v>
      </c>
      <c r="B26" s="5">
        <f t="shared" si="0"/>
        <v>4</v>
      </c>
      <c r="C26" s="1">
        <f>_xlfn.XLOOKUP(A26,[1]Sheet1!$B$2:$B$115,[1]Sheet1!$F$2:$F$115)</f>
        <v>25</v>
      </c>
      <c r="D26" s="1">
        <f t="shared" si="1"/>
        <v>721</v>
      </c>
      <c r="E26" s="1">
        <f>SUMIF(data!$E$313:$E$1266,stats!A26,data!$D$313:$D$1266)</f>
        <v>55</v>
      </c>
      <c r="F26" s="17">
        <f t="shared" si="2"/>
        <v>7.6282940360610257E-2</v>
      </c>
      <c r="G26" s="1">
        <v>151</v>
      </c>
      <c r="I26" s="20"/>
    </row>
    <row r="27" spans="1:9" x14ac:dyDescent="0.3">
      <c r="A27" s="8" t="s">
        <v>2</v>
      </c>
      <c r="B27" s="5">
        <f t="shared" si="0"/>
        <v>11</v>
      </c>
      <c r="C27" s="1">
        <f>_xlfn.XLOOKUP(A27,[1]Sheet1!$B$2:$B$115,[1]Sheet1!$F$2:$F$115)</f>
        <v>73</v>
      </c>
      <c r="D27" s="1">
        <f t="shared" si="1"/>
        <v>1982</v>
      </c>
      <c r="E27" s="1">
        <f>SUMIF(data!$E$313:$E$1266,stats!A27,data!$D$313:$D$1266)</f>
        <v>145</v>
      </c>
      <c r="F27" s="17">
        <f t="shared" si="2"/>
        <v>7.3158425832492435E-2</v>
      </c>
      <c r="G27" s="1">
        <v>122</v>
      </c>
      <c r="I27" s="20"/>
    </row>
    <row r="28" spans="1:9" x14ac:dyDescent="0.3">
      <c r="A28" s="8" t="s">
        <v>139</v>
      </c>
      <c r="B28" s="5">
        <f t="shared" si="0"/>
        <v>1</v>
      </c>
      <c r="C28" s="1">
        <f>_xlfn.XLOOKUP(A28,[1]Sheet1!$B$2:$B$115,[1]Sheet1!$F$2:$F$115)</f>
        <v>9</v>
      </c>
      <c r="D28" s="1">
        <f t="shared" si="1"/>
        <v>180</v>
      </c>
      <c r="E28" s="1">
        <f>SUMIF(data!$E$313:$E$1266,stats!A28,data!$D$313:$D$1266)</f>
        <v>13</v>
      </c>
      <c r="F28" s="17">
        <f t="shared" si="2"/>
        <v>7.2222222222222215E-2</v>
      </c>
      <c r="G28" s="1">
        <v>392</v>
      </c>
      <c r="I28" s="20"/>
    </row>
    <row r="29" spans="1:9" x14ac:dyDescent="0.3">
      <c r="A29" s="8" t="s">
        <v>57</v>
      </c>
      <c r="B29" s="5">
        <f t="shared" si="0"/>
        <v>4</v>
      </c>
      <c r="C29" s="1">
        <f>_xlfn.XLOOKUP(A29,[1]Sheet1!$B$2:$B$115,[1]Sheet1!$F$2:$F$115)</f>
        <v>26</v>
      </c>
      <c r="D29" s="1">
        <f t="shared" si="1"/>
        <v>721</v>
      </c>
      <c r="E29" s="1">
        <f>SUMIF(data!$E$313:$E$1266,stats!A29,data!$D$313:$D$1266)</f>
        <v>52</v>
      </c>
      <c r="F29" s="17">
        <f t="shared" si="2"/>
        <v>7.2122052704576972E-2</v>
      </c>
      <c r="G29" s="1">
        <v>110</v>
      </c>
      <c r="I29" s="20"/>
    </row>
    <row r="30" spans="1:9" x14ac:dyDescent="0.3">
      <c r="A30" s="8" t="s">
        <v>49</v>
      </c>
      <c r="B30" s="5">
        <f t="shared" si="0"/>
        <v>5</v>
      </c>
      <c r="C30" s="1">
        <f>_xlfn.XLOOKUP(A30,[1]Sheet1!$B$2:$B$115,[1]Sheet1!$F$2:$F$115)</f>
        <v>30</v>
      </c>
      <c r="D30" s="1">
        <f t="shared" si="1"/>
        <v>901</v>
      </c>
      <c r="E30" s="1">
        <f>SUMIF(data!$E$313:$E$1266,stats!A30,data!$D$313:$D$1266)</f>
        <v>63</v>
      </c>
      <c r="F30" s="17">
        <f t="shared" si="2"/>
        <v>6.9922308546059936E-2</v>
      </c>
      <c r="G30" s="1">
        <v>0.5</v>
      </c>
      <c r="I30" s="20"/>
    </row>
    <row r="31" spans="1:9" x14ac:dyDescent="0.3">
      <c r="A31" s="8" t="s">
        <v>58</v>
      </c>
      <c r="B31" s="5">
        <f t="shared" si="0"/>
        <v>2</v>
      </c>
      <c r="C31" s="1">
        <f>_xlfn.XLOOKUP(A31,[1]Sheet1!$B$2:$B$115,[1]Sheet1!$F$2:$F$115)</f>
        <v>16</v>
      </c>
      <c r="D31" s="1">
        <f t="shared" si="1"/>
        <v>360</v>
      </c>
      <c r="E31" s="1">
        <f>SUMIF(data!$E$313:$E$1266,stats!A31,data!$D$313:$D$1266)</f>
        <v>24</v>
      </c>
      <c r="F31" s="17">
        <f t="shared" si="2"/>
        <v>6.6666666666666666E-2</v>
      </c>
      <c r="G31" s="1">
        <v>112</v>
      </c>
      <c r="I31" s="20"/>
    </row>
    <row r="32" spans="1:9" x14ac:dyDescent="0.3">
      <c r="A32" s="8" t="s">
        <v>40</v>
      </c>
      <c r="B32" s="5">
        <f t="shared" si="0"/>
        <v>4</v>
      </c>
      <c r="C32" s="1">
        <f>_xlfn.XLOOKUP(A32,[1]Sheet1!$B$2:$B$115,[1]Sheet1!$F$2:$F$115)</f>
        <v>28</v>
      </c>
      <c r="D32" s="1">
        <f t="shared" si="1"/>
        <v>721</v>
      </c>
      <c r="E32" s="1">
        <f>SUMIF(data!$E$313:$E$1266,stats!A32,data!$D$313:$D$1266)</f>
        <v>48</v>
      </c>
      <c r="F32" s="17">
        <f t="shared" si="2"/>
        <v>6.6574202496532592E-2</v>
      </c>
      <c r="G32" s="1">
        <v>135</v>
      </c>
      <c r="I32" s="20"/>
    </row>
    <row r="33" spans="1:9" x14ac:dyDescent="0.3">
      <c r="A33" s="8" t="s">
        <v>5</v>
      </c>
      <c r="B33" s="5">
        <f t="shared" si="0"/>
        <v>5</v>
      </c>
      <c r="C33" s="1">
        <f>_xlfn.XLOOKUP(A33,[1]Sheet1!$B$2:$B$115,[1]Sheet1!$F$2:$F$115)</f>
        <v>35</v>
      </c>
      <c r="D33" s="1">
        <f t="shared" si="1"/>
        <v>901</v>
      </c>
      <c r="E33" s="1">
        <f>SUMIF(data!$E$313:$E$1266,stats!A33,data!$D$313:$D$1266)</f>
        <v>57</v>
      </c>
      <c r="F33" s="17">
        <f t="shared" si="2"/>
        <v>6.3263041065482792E-2</v>
      </c>
      <c r="G33" s="1">
        <v>145</v>
      </c>
      <c r="I33" s="20"/>
    </row>
    <row r="34" spans="1:9" x14ac:dyDescent="0.3">
      <c r="A34" s="8" t="s">
        <v>70</v>
      </c>
      <c r="B34" s="5">
        <f t="shared" si="0"/>
        <v>5</v>
      </c>
      <c r="C34" s="1">
        <f>_xlfn.XLOOKUP(A34,[1]Sheet1!$B$2:$B$115,[1]Sheet1!$F$2:$F$115)</f>
        <v>31</v>
      </c>
      <c r="D34" s="1">
        <f t="shared" si="1"/>
        <v>901</v>
      </c>
      <c r="E34" s="1">
        <f>SUMIF(data!$E$313:$E$1266,stats!A34,data!$D$313:$D$1266)</f>
        <v>56</v>
      </c>
      <c r="F34" s="17">
        <f t="shared" si="2"/>
        <v>6.2153163152053277E-2</v>
      </c>
      <c r="G34" s="1">
        <v>125</v>
      </c>
      <c r="I34" s="20"/>
    </row>
    <row r="35" spans="1:9" x14ac:dyDescent="0.3">
      <c r="A35" s="8" t="s">
        <v>9</v>
      </c>
      <c r="B35" s="5">
        <f t="shared" si="0"/>
        <v>7</v>
      </c>
      <c r="C35" s="1">
        <f>_xlfn.XLOOKUP(A35,[1]Sheet1!$B$2:$B$115,[1]Sheet1!$F$2:$F$115)</f>
        <v>49</v>
      </c>
      <c r="D35" s="1">
        <f t="shared" si="1"/>
        <v>1261</v>
      </c>
      <c r="E35" s="1">
        <f>SUMIF(data!$E$313:$E$1266,stats!A35,data!$D$313:$D$1266)</f>
        <v>78</v>
      </c>
      <c r="F35" s="17">
        <f t="shared" si="2"/>
        <v>6.1855670103092786E-2</v>
      </c>
      <c r="G35" s="1">
        <v>84</v>
      </c>
      <c r="I35" s="20"/>
    </row>
    <row r="36" spans="1:9" x14ac:dyDescent="0.3">
      <c r="A36" s="8" t="s">
        <v>52</v>
      </c>
      <c r="B36" s="5">
        <f t="shared" ref="B36:B67" si="3">ROUND(B$1*C36,0)</f>
        <v>7</v>
      </c>
      <c r="C36" s="1">
        <f>_xlfn.XLOOKUP(A36,[1]Sheet1!$B$2:$B$115,[1]Sheet1!$F$2:$F$115)</f>
        <v>44</v>
      </c>
      <c r="D36" s="1">
        <f t="shared" ref="D36:D67" si="4">ROUND(47*B36*(B$1+1)/(2*B$1),0)</f>
        <v>1261</v>
      </c>
      <c r="E36" s="1">
        <f>SUMIF(data!$E$313:$E$1266,stats!A36,data!$D$313:$D$1266)</f>
        <v>74</v>
      </c>
      <c r="F36" s="17">
        <f t="shared" ref="F36:F67" si="5">E36/D36</f>
        <v>5.8683584456780333E-2</v>
      </c>
      <c r="G36" s="1">
        <v>181</v>
      </c>
      <c r="I36" s="20"/>
    </row>
    <row r="37" spans="1:9" x14ac:dyDescent="0.3">
      <c r="A37" s="8" t="s">
        <v>34</v>
      </c>
      <c r="B37" s="5">
        <f t="shared" si="3"/>
        <v>7</v>
      </c>
      <c r="C37" s="1">
        <f>_xlfn.XLOOKUP(A37,[1]Sheet1!$B$2:$B$115,[1]Sheet1!$F$2:$F$115)</f>
        <v>48</v>
      </c>
      <c r="D37" s="1">
        <f t="shared" si="4"/>
        <v>1261</v>
      </c>
      <c r="E37" s="1">
        <f>SUMIF(data!$E$313:$E$1266,stats!A37,data!$D$313:$D$1266)</f>
        <v>61</v>
      </c>
      <c r="F37" s="17">
        <f t="shared" si="5"/>
        <v>4.8374306106264871E-2</v>
      </c>
      <c r="G37" s="1">
        <v>236</v>
      </c>
      <c r="I37" s="20"/>
    </row>
    <row r="38" spans="1:9" x14ac:dyDescent="0.3">
      <c r="A38" s="8" t="s">
        <v>112</v>
      </c>
      <c r="B38" s="5">
        <f t="shared" si="3"/>
        <v>2</v>
      </c>
      <c r="C38" s="1">
        <f>_xlfn.XLOOKUP(A38,[1]Sheet1!$B$2:$B$115,[1]Sheet1!$F$2:$F$115)</f>
        <v>12</v>
      </c>
      <c r="D38" s="1">
        <f t="shared" si="4"/>
        <v>360</v>
      </c>
      <c r="E38" s="1">
        <f>SUMIF(data!$E$313:$E$1266,stats!A38,data!$D$313:$D$1266)</f>
        <v>17</v>
      </c>
      <c r="F38" s="17">
        <f t="shared" si="5"/>
        <v>4.7222222222222221E-2</v>
      </c>
      <c r="G38" s="1">
        <v>181</v>
      </c>
      <c r="I38" s="20"/>
    </row>
    <row r="39" spans="1:9" x14ac:dyDescent="0.3">
      <c r="A39" s="8" t="s">
        <v>11</v>
      </c>
      <c r="B39" s="5">
        <f t="shared" si="3"/>
        <v>3</v>
      </c>
      <c r="C39" s="1">
        <f>_xlfn.XLOOKUP(A39,[1]Sheet1!$B$2:$B$115,[1]Sheet1!$F$2:$F$115)</f>
        <v>19</v>
      </c>
      <c r="D39" s="1">
        <f t="shared" si="4"/>
        <v>541</v>
      </c>
      <c r="E39" s="1">
        <f>SUMIF(data!$E$313:$E$1266,stats!A39,data!$D$313:$D$1266)</f>
        <v>25</v>
      </c>
      <c r="F39" s="17">
        <f t="shared" si="5"/>
        <v>4.6210720887245843E-2</v>
      </c>
      <c r="G39" s="1">
        <v>86</v>
      </c>
      <c r="I39" s="20"/>
    </row>
    <row r="40" spans="1:9" x14ac:dyDescent="0.3">
      <c r="A40" s="8" t="s">
        <v>24</v>
      </c>
      <c r="B40" s="5">
        <f t="shared" si="3"/>
        <v>4</v>
      </c>
      <c r="C40" s="1">
        <f>_xlfn.XLOOKUP(A40,[1]Sheet1!$B$2:$B$115,[1]Sheet1!$F$2:$F$115)</f>
        <v>26</v>
      </c>
      <c r="D40" s="1">
        <f t="shared" si="4"/>
        <v>721</v>
      </c>
      <c r="E40" s="1">
        <f>SUMIF(data!$E$313:$E$1266,stats!A40,data!$D$313:$D$1266)</f>
        <v>31</v>
      </c>
      <c r="F40" s="17">
        <f t="shared" si="5"/>
        <v>4.2995839112343968E-2</v>
      </c>
      <c r="G40" s="1">
        <v>42</v>
      </c>
      <c r="I40" s="20"/>
    </row>
    <row r="41" spans="1:9" x14ac:dyDescent="0.3">
      <c r="A41" s="8" t="s">
        <v>100</v>
      </c>
      <c r="B41" s="5">
        <f t="shared" si="3"/>
        <v>4</v>
      </c>
      <c r="C41" s="1">
        <f>_xlfn.XLOOKUP(A41,[1]Sheet1!$B$2:$B$115,[1]Sheet1!$F$2:$F$115)</f>
        <v>28</v>
      </c>
      <c r="D41" s="1">
        <f t="shared" si="4"/>
        <v>721</v>
      </c>
      <c r="E41" s="1">
        <f>SUMIF(data!$E$313:$E$1266,stats!A41,data!$D$313:$D$1266)</f>
        <v>29</v>
      </c>
      <c r="F41" s="17">
        <f t="shared" si="5"/>
        <v>4.0221914008321778E-2</v>
      </c>
      <c r="G41" s="1">
        <v>18</v>
      </c>
      <c r="I41" s="20"/>
    </row>
    <row r="42" spans="1:9" x14ac:dyDescent="0.3">
      <c r="A42" s="8" t="s">
        <v>53</v>
      </c>
      <c r="B42" s="5">
        <f t="shared" si="3"/>
        <v>6</v>
      </c>
      <c r="C42" s="1">
        <f>_xlfn.XLOOKUP(A42,[1]Sheet1!$B$2:$B$115,[1]Sheet1!$F$2:$F$115)</f>
        <v>40</v>
      </c>
      <c r="D42" s="1">
        <f t="shared" si="4"/>
        <v>1081</v>
      </c>
      <c r="E42" s="1">
        <f>SUMIF(data!$E$313:$E$1266,stats!A42,data!$D$313:$D$1266)</f>
        <v>41</v>
      </c>
      <c r="F42" s="17">
        <f t="shared" si="5"/>
        <v>3.7927844588344126E-2</v>
      </c>
      <c r="G42" s="1">
        <v>133</v>
      </c>
      <c r="I42" s="20"/>
    </row>
    <row r="43" spans="1:9" x14ac:dyDescent="0.3">
      <c r="A43" s="8" t="s">
        <v>291</v>
      </c>
      <c r="B43" s="5">
        <f t="shared" si="3"/>
        <v>2</v>
      </c>
      <c r="C43" s="1">
        <f>_xlfn.XLOOKUP(A43,[1]Sheet1!$B$2:$B$115,[1]Sheet1!$F$2:$F$115)</f>
        <v>15</v>
      </c>
      <c r="D43" s="1">
        <f t="shared" si="4"/>
        <v>360</v>
      </c>
      <c r="E43" s="1">
        <f>SUMIF(data!$E$313:$E$1266,stats!A43,data!$D$313:$D$1266)</f>
        <v>12</v>
      </c>
      <c r="F43" s="17">
        <f t="shared" si="5"/>
        <v>3.3333333333333333E-2</v>
      </c>
      <c r="G43" s="1">
        <v>120</v>
      </c>
      <c r="I43" s="20"/>
    </row>
    <row r="44" spans="1:9" x14ac:dyDescent="0.3">
      <c r="A44" s="8" t="s">
        <v>72</v>
      </c>
      <c r="B44" s="5">
        <f t="shared" si="3"/>
        <v>5</v>
      </c>
      <c r="C44" s="1">
        <f>_xlfn.XLOOKUP(A44,[1]Sheet1!$B$2:$B$115,[1]Sheet1!$F$2:$F$115)</f>
        <v>32</v>
      </c>
      <c r="D44" s="1">
        <f t="shared" si="4"/>
        <v>901</v>
      </c>
      <c r="E44" s="1">
        <f>SUMIF(data!$E$313:$E$1266,stats!A44,data!$D$313:$D$1266)</f>
        <v>26</v>
      </c>
      <c r="F44" s="17">
        <f t="shared" si="5"/>
        <v>2.8856825749167592E-2</v>
      </c>
      <c r="G44" s="1">
        <v>104</v>
      </c>
      <c r="I44" s="20"/>
    </row>
    <row r="45" spans="1:9" x14ac:dyDescent="0.3">
      <c r="A45" s="8" t="s">
        <v>13</v>
      </c>
      <c r="B45" s="5">
        <f t="shared" si="3"/>
        <v>10</v>
      </c>
      <c r="C45" s="1">
        <f>_xlfn.XLOOKUP(A45,[1]Sheet1!$B$2:$B$115,[1]Sheet1!$F$2:$F$115)</f>
        <v>67</v>
      </c>
      <c r="D45" s="1">
        <f t="shared" si="4"/>
        <v>1802</v>
      </c>
      <c r="E45" s="1">
        <f>SUMIF(data!$E$313:$E$1266,stats!A45,data!$D$313:$D$1266)</f>
        <v>49</v>
      </c>
      <c r="F45" s="17">
        <f t="shared" si="5"/>
        <v>2.7192008879023309E-2</v>
      </c>
      <c r="G45" s="1">
        <v>307</v>
      </c>
      <c r="I45" s="20"/>
    </row>
    <row r="46" spans="1:9" x14ac:dyDescent="0.3">
      <c r="A46" s="8" t="s">
        <v>42</v>
      </c>
      <c r="B46" s="5">
        <f t="shared" si="3"/>
        <v>8</v>
      </c>
      <c r="C46" s="1">
        <f>_xlfn.XLOOKUP(A46,[1]Sheet1!$B$2:$B$115,[1]Sheet1!$F$2:$F$115)</f>
        <v>53</v>
      </c>
      <c r="D46" s="1">
        <f t="shared" si="4"/>
        <v>1441</v>
      </c>
      <c r="E46" s="1">
        <f>SUMIF(data!$E$313:$E$1266,stats!A46,data!$D$313:$D$1266)</f>
        <v>39</v>
      </c>
      <c r="F46" s="17">
        <f t="shared" si="5"/>
        <v>2.7064538514920196E-2</v>
      </c>
      <c r="G46" s="1">
        <v>152</v>
      </c>
      <c r="I46" s="20"/>
    </row>
    <row r="47" spans="1:9" x14ac:dyDescent="0.3">
      <c r="A47" s="8" t="s">
        <v>73</v>
      </c>
      <c r="B47" s="5">
        <f t="shared" si="3"/>
        <v>4</v>
      </c>
      <c r="C47" s="1">
        <f>_xlfn.XLOOKUP(A47,[1]Sheet1!$B$2:$B$115,[1]Sheet1!$F$2:$F$115)</f>
        <v>25</v>
      </c>
      <c r="D47" s="1">
        <f t="shared" si="4"/>
        <v>721</v>
      </c>
      <c r="E47" s="1">
        <f>SUMIF(data!$E$313:$E$1266,stats!A47,data!$D$313:$D$1266)</f>
        <v>19</v>
      </c>
      <c r="F47" s="17">
        <f t="shared" si="5"/>
        <v>2.6352288488210817E-2</v>
      </c>
      <c r="G47" s="1">
        <v>232</v>
      </c>
      <c r="I47" s="20"/>
    </row>
    <row r="48" spans="1:9" x14ac:dyDescent="0.3">
      <c r="A48" s="8" t="s">
        <v>67</v>
      </c>
      <c r="B48" s="5">
        <f t="shared" si="3"/>
        <v>4</v>
      </c>
      <c r="C48" s="1">
        <f>_xlfn.XLOOKUP(A48,[1]Sheet1!$B$2:$B$115,[1]Sheet1!$F$2:$F$115)</f>
        <v>24</v>
      </c>
      <c r="D48" s="1">
        <f t="shared" si="4"/>
        <v>721</v>
      </c>
      <c r="E48" s="1">
        <f>SUMIF(data!$E$313:$E$1266,stats!A48,data!$D$313:$D$1266)</f>
        <v>19</v>
      </c>
      <c r="F48" s="17">
        <f t="shared" si="5"/>
        <v>2.6352288488210817E-2</v>
      </c>
      <c r="G48" s="1">
        <v>285</v>
      </c>
      <c r="I48" s="20"/>
    </row>
    <row r="49" spans="1:9" x14ac:dyDescent="0.3">
      <c r="A49" s="8" t="s">
        <v>35</v>
      </c>
      <c r="B49" s="5">
        <f t="shared" si="3"/>
        <v>5</v>
      </c>
      <c r="C49" s="1">
        <f>_xlfn.XLOOKUP(A49,[1]Sheet1!$B$2:$B$115,[1]Sheet1!$F$2:$F$115)</f>
        <v>32</v>
      </c>
      <c r="D49" s="1">
        <f t="shared" si="4"/>
        <v>901</v>
      </c>
      <c r="E49" s="1">
        <f>SUMIF(data!$E$313:$E$1266,stats!A49,data!$D$313:$D$1266)</f>
        <v>21</v>
      </c>
      <c r="F49" s="17">
        <f t="shared" si="5"/>
        <v>2.3307436182019976E-2</v>
      </c>
      <c r="G49" s="1">
        <v>349</v>
      </c>
      <c r="I49" s="20"/>
    </row>
    <row r="50" spans="1:9" x14ac:dyDescent="0.3">
      <c r="A50" s="8" t="s">
        <v>46</v>
      </c>
      <c r="B50" s="5">
        <f t="shared" si="3"/>
        <v>4</v>
      </c>
      <c r="C50" s="1">
        <f>_xlfn.XLOOKUP(A50,[1]Sheet1!$B$2:$B$115,[1]Sheet1!$F$2:$F$115)</f>
        <v>28</v>
      </c>
      <c r="D50" s="1">
        <f t="shared" si="4"/>
        <v>721</v>
      </c>
      <c r="E50" s="1">
        <f>SUMIF(data!$E$313:$E$1266,stats!A50,data!$D$313:$D$1266)</f>
        <v>16</v>
      </c>
      <c r="F50" s="17">
        <f t="shared" si="5"/>
        <v>2.2191400832177532E-2</v>
      </c>
      <c r="G50" s="1">
        <v>378</v>
      </c>
      <c r="I50" s="20"/>
    </row>
    <row r="51" spans="1:9" x14ac:dyDescent="0.3">
      <c r="A51" s="8" t="s">
        <v>23</v>
      </c>
      <c r="B51" s="5">
        <f t="shared" si="3"/>
        <v>12</v>
      </c>
      <c r="C51" s="1">
        <f>_xlfn.XLOOKUP(A51,[1]Sheet1!$B$2:$B$115,[1]Sheet1!$F$2:$F$115)</f>
        <v>82</v>
      </c>
      <c r="D51" s="1">
        <f t="shared" si="4"/>
        <v>2162</v>
      </c>
      <c r="E51" s="1">
        <f>SUMIF(data!$E$313:$E$1266,stats!A51,data!$D$313:$D$1266)</f>
        <v>46</v>
      </c>
      <c r="F51" s="17">
        <f t="shared" si="5"/>
        <v>2.1276595744680851E-2</v>
      </c>
      <c r="G51" s="1">
        <v>208</v>
      </c>
      <c r="I51" s="20"/>
    </row>
    <row r="52" spans="1:9" x14ac:dyDescent="0.3">
      <c r="A52" s="8" t="s">
        <v>64</v>
      </c>
      <c r="B52" s="5">
        <f t="shared" si="3"/>
        <v>7</v>
      </c>
      <c r="C52" s="1">
        <f>_xlfn.XLOOKUP(A52,[1]Sheet1!$B$2:$B$115,[1]Sheet1!$F$2:$F$115)</f>
        <v>44</v>
      </c>
      <c r="D52" s="1">
        <f t="shared" si="4"/>
        <v>1261</v>
      </c>
      <c r="E52" s="1">
        <f>SUMIF(data!$E$313:$E$1266,stats!A52,data!$D$313:$D$1266)</f>
        <v>25</v>
      </c>
      <c r="F52" s="17">
        <f t="shared" si="5"/>
        <v>1.9825535289452814E-2</v>
      </c>
      <c r="G52" s="1">
        <v>262</v>
      </c>
      <c r="I52" s="20"/>
    </row>
    <row r="53" spans="1:9" x14ac:dyDescent="0.3">
      <c r="A53" s="8" t="s">
        <v>97</v>
      </c>
      <c r="B53" s="5">
        <f t="shared" si="3"/>
        <v>2</v>
      </c>
      <c r="C53" s="1">
        <f>_xlfn.XLOOKUP(A53,[1]Sheet1!$B$2:$B$115,[1]Sheet1!$F$2:$F$115)</f>
        <v>13</v>
      </c>
      <c r="D53" s="1">
        <f t="shared" si="4"/>
        <v>360</v>
      </c>
      <c r="E53" s="1">
        <f>SUMIF(data!$E$313:$E$1266,stats!A53,data!$D$313:$D$1266)</f>
        <v>7</v>
      </c>
      <c r="F53" s="17">
        <f t="shared" si="5"/>
        <v>1.9444444444444445E-2</v>
      </c>
      <c r="G53" s="1">
        <v>112</v>
      </c>
      <c r="I53" s="20"/>
    </row>
    <row r="54" spans="1:9" x14ac:dyDescent="0.3">
      <c r="A54" s="8" t="s">
        <v>87</v>
      </c>
      <c r="B54" s="5">
        <f t="shared" si="3"/>
        <v>6</v>
      </c>
      <c r="C54" s="1">
        <f>_xlfn.XLOOKUP(A54,[1]Sheet1!$B$2:$B$115,[1]Sheet1!$F$2:$F$115)</f>
        <v>42</v>
      </c>
      <c r="D54" s="1">
        <f t="shared" si="4"/>
        <v>1081</v>
      </c>
      <c r="E54" s="1">
        <f>SUMIF(data!$E$313:$E$1266,stats!A54,data!$D$313:$D$1266)</f>
        <v>20</v>
      </c>
      <c r="F54" s="17">
        <f t="shared" si="5"/>
        <v>1.8501387604070305E-2</v>
      </c>
      <c r="G54" s="1">
        <v>321</v>
      </c>
      <c r="I54" s="20"/>
    </row>
    <row r="55" spans="1:9" x14ac:dyDescent="0.3">
      <c r="A55" s="8" t="s">
        <v>94</v>
      </c>
      <c r="B55" s="5">
        <f t="shared" si="3"/>
        <v>5</v>
      </c>
      <c r="C55" s="1">
        <f>_xlfn.XLOOKUP(A55,[1]Sheet1!$B$2:$B$115,[1]Sheet1!$F$2:$F$115)</f>
        <v>33</v>
      </c>
      <c r="D55" s="1">
        <f t="shared" si="4"/>
        <v>901</v>
      </c>
      <c r="E55" s="1">
        <f>SUMIF(data!$E$313:$E$1266,stats!A55,data!$D$313:$D$1266)</f>
        <v>15</v>
      </c>
      <c r="F55" s="17">
        <f t="shared" si="5"/>
        <v>1.6648168701442843E-2</v>
      </c>
      <c r="G55" s="1">
        <v>437</v>
      </c>
      <c r="I55" s="20"/>
    </row>
    <row r="56" spans="1:9" x14ac:dyDescent="0.3">
      <c r="A56" s="8" t="s">
        <v>71</v>
      </c>
      <c r="B56" s="5">
        <f t="shared" si="3"/>
        <v>4</v>
      </c>
      <c r="C56" s="1">
        <f>_xlfn.XLOOKUP(A56,[1]Sheet1!$B$2:$B$115,[1]Sheet1!$F$2:$F$115)</f>
        <v>25</v>
      </c>
      <c r="D56" s="1">
        <f t="shared" si="4"/>
        <v>721</v>
      </c>
      <c r="E56" s="1">
        <f>SUMIF(data!$E$313:$E$1266,stats!A56,data!$D$313:$D$1266)</f>
        <v>11</v>
      </c>
      <c r="F56" s="17">
        <f t="shared" si="5"/>
        <v>1.5256588072122053E-2</v>
      </c>
      <c r="G56" s="1">
        <v>116</v>
      </c>
      <c r="I56" s="20"/>
    </row>
    <row r="57" spans="1:9" x14ac:dyDescent="0.3">
      <c r="A57" s="8" t="s">
        <v>61</v>
      </c>
      <c r="B57" s="5">
        <f t="shared" si="3"/>
        <v>6</v>
      </c>
      <c r="C57" s="1">
        <f>_xlfn.XLOOKUP(A57,[1]Sheet1!$B$2:$B$115,[1]Sheet1!$F$2:$F$115)</f>
        <v>42</v>
      </c>
      <c r="D57" s="1">
        <f t="shared" si="4"/>
        <v>1081</v>
      </c>
      <c r="E57" s="1">
        <f>SUMIF(data!$E$313:$E$1266,stats!A57,data!$D$313:$D$1266)</f>
        <v>16</v>
      </c>
      <c r="F57" s="17">
        <f t="shared" si="5"/>
        <v>1.4801110083256245E-2</v>
      </c>
      <c r="G57" s="1">
        <v>174</v>
      </c>
      <c r="I57" s="20"/>
    </row>
    <row r="58" spans="1:9" x14ac:dyDescent="0.3">
      <c r="A58" s="8" t="s">
        <v>96</v>
      </c>
      <c r="B58" s="5">
        <f t="shared" si="3"/>
        <v>3</v>
      </c>
      <c r="C58" s="1">
        <f>_xlfn.XLOOKUP(A58,[1]Sheet1!$B$2:$B$115,[1]Sheet1!$F$2:$F$115)</f>
        <v>22</v>
      </c>
      <c r="D58" s="1">
        <f t="shared" si="4"/>
        <v>541</v>
      </c>
      <c r="E58" s="1">
        <f>SUMIF(data!$E$313:$E$1266,stats!A58,data!$D$313:$D$1266)</f>
        <v>8</v>
      </c>
      <c r="F58" s="17">
        <f t="shared" si="5"/>
        <v>1.4787430683918669E-2</v>
      </c>
      <c r="G58" s="1">
        <v>210</v>
      </c>
      <c r="I58" s="20"/>
    </row>
    <row r="59" spans="1:9" x14ac:dyDescent="0.3">
      <c r="A59" s="8" t="s">
        <v>108</v>
      </c>
      <c r="B59" s="5">
        <f t="shared" si="3"/>
        <v>2</v>
      </c>
      <c r="C59" s="1">
        <f>_xlfn.XLOOKUP(A59,[1]Sheet1!$B$2:$B$115,[1]Sheet1!$F$2:$F$115)</f>
        <v>12</v>
      </c>
      <c r="D59" s="1">
        <f t="shared" si="4"/>
        <v>360</v>
      </c>
      <c r="E59" s="1">
        <f>SUMIF(data!$E$313:$E$1266,stats!A59,data!$D$313:$D$1266)</f>
        <v>5</v>
      </c>
      <c r="F59" s="17">
        <f t="shared" si="5"/>
        <v>1.3888888888888888E-2</v>
      </c>
      <c r="G59" s="1">
        <v>205</v>
      </c>
      <c r="I59" s="20"/>
    </row>
    <row r="60" spans="1:9" x14ac:dyDescent="0.3">
      <c r="A60" s="8" t="s">
        <v>48</v>
      </c>
      <c r="B60" s="5">
        <f t="shared" si="3"/>
        <v>5</v>
      </c>
      <c r="C60" s="1">
        <f>_xlfn.XLOOKUP(A60,[1]Sheet1!$B$2:$B$115,[1]Sheet1!$F$2:$F$115)</f>
        <v>35</v>
      </c>
      <c r="D60" s="1">
        <f t="shared" si="4"/>
        <v>901</v>
      </c>
      <c r="E60" s="1">
        <f>SUMIF(data!$E$313:$E$1266,stats!A60,data!$D$313:$D$1266)</f>
        <v>12</v>
      </c>
      <c r="F60" s="17">
        <f t="shared" si="5"/>
        <v>1.3318534961154272E-2</v>
      </c>
      <c r="G60" s="1">
        <v>317</v>
      </c>
      <c r="I60" s="20"/>
    </row>
    <row r="61" spans="1:9" x14ac:dyDescent="0.3">
      <c r="A61" s="8" t="s">
        <v>66</v>
      </c>
      <c r="B61" s="5">
        <f t="shared" si="3"/>
        <v>4</v>
      </c>
      <c r="C61" s="1">
        <f>_xlfn.XLOOKUP(A61,[1]Sheet1!$B$2:$B$115,[1]Sheet1!$F$2:$F$115)</f>
        <v>26</v>
      </c>
      <c r="D61" s="1">
        <f t="shared" si="4"/>
        <v>721</v>
      </c>
      <c r="E61" s="1">
        <f>SUMIF(data!$E$313:$E$1266,stats!A61,data!$D$313:$D$1266)</f>
        <v>9</v>
      </c>
      <c r="F61" s="17">
        <f t="shared" si="5"/>
        <v>1.2482662968099861E-2</v>
      </c>
      <c r="G61" s="1">
        <v>359</v>
      </c>
      <c r="H61" s="8"/>
      <c r="I61" s="20"/>
    </row>
    <row r="62" spans="1:9" x14ac:dyDescent="0.3">
      <c r="A62" s="8" t="s">
        <v>63</v>
      </c>
      <c r="B62" s="5">
        <f t="shared" si="3"/>
        <v>11</v>
      </c>
      <c r="C62" s="1">
        <f>_xlfn.XLOOKUP(A62,[1]Sheet1!$B$2:$B$115,[1]Sheet1!$F$2:$F$115)</f>
        <v>75</v>
      </c>
      <c r="D62" s="1">
        <f t="shared" si="4"/>
        <v>1982</v>
      </c>
      <c r="E62" s="1">
        <f>SUMIF(data!$E$313:$E$1266,stats!A62,data!$D$313:$D$1266)</f>
        <v>23</v>
      </c>
      <c r="F62" s="17">
        <f t="shared" si="5"/>
        <v>1.1604439959636731E-2</v>
      </c>
      <c r="G62" s="1">
        <v>414</v>
      </c>
      <c r="H62" s="8"/>
      <c r="I62" s="20"/>
    </row>
    <row r="63" spans="1:9" x14ac:dyDescent="0.3">
      <c r="A63" s="8" t="s">
        <v>44</v>
      </c>
      <c r="B63" s="5">
        <f t="shared" si="3"/>
        <v>10</v>
      </c>
      <c r="C63" s="1">
        <f>_xlfn.XLOOKUP(A63,[1]Sheet1!$B$2:$B$115,[1]Sheet1!$F$2:$F$115)</f>
        <v>67</v>
      </c>
      <c r="D63" s="1">
        <f t="shared" si="4"/>
        <v>1802</v>
      </c>
      <c r="E63" s="1">
        <f>SUMIF(data!$E$313:$E$1266,stats!A63,data!$D$313:$D$1266)</f>
        <v>20</v>
      </c>
      <c r="F63" s="17">
        <f t="shared" si="5"/>
        <v>1.1098779134295227E-2</v>
      </c>
      <c r="G63" s="1">
        <v>439</v>
      </c>
      <c r="H63" s="8"/>
      <c r="I63" s="20"/>
    </row>
    <row r="64" spans="1:9" x14ac:dyDescent="0.3">
      <c r="A64" s="8" t="s">
        <v>102</v>
      </c>
      <c r="B64" s="5">
        <f t="shared" si="3"/>
        <v>5</v>
      </c>
      <c r="C64" s="1">
        <f>_xlfn.XLOOKUP(A64,[1]Sheet1!$B$2:$B$115,[1]Sheet1!$F$2:$F$115)</f>
        <v>35</v>
      </c>
      <c r="D64" s="1">
        <f t="shared" si="4"/>
        <v>901</v>
      </c>
      <c r="E64" s="1">
        <f>SUMIF(data!$E$313:$E$1266,stats!A64,data!$D$313:$D$1266)</f>
        <v>10</v>
      </c>
      <c r="F64" s="17">
        <f t="shared" si="5"/>
        <v>1.1098779134295227E-2</v>
      </c>
      <c r="G64" s="1">
        <v>438</v>
      </c>
      <c r="H64" s="8"/>
      <c r="I64" s="20"/>
    </row>
    <row r="65" spans="1:9" x14ac:dyDescent="0.3">
      <c r="A65" s="8" t="s">
        <v>105</v>
      </c>
      <c r="B65" s="5">
        <f t="shared" si="3"/>
        <v>14</v>
      </c>
      <c r="C65" s="1">
        <f>_xlfn.XLOOKUP(A65,[1]Sheet1!$B$2:$B$115,[1]Sheet1!$F$2:$F$115)</f>
        <v>91</v>
      </c>
      <c r="D65" s="1">
        <f t="shared" si="4"/>
        <v>2522</v>
      </c>
      <c r="E65" s="1">
        <f>SUMIF(data!$E$313:$E$1266,stats!A65,data!$D$313:$D$1266)</f>
        <v>18</v>
      </c>
      <c r="F65" s="17">
        <f t="shared" si="5"/>
        <v>7.1371927042030133E-3</v>
      </c>
      <c r="G65" s="1">
        <v>421</v>
      </c>
      <c r="H65" s="8"/>
      <c r="I65" s="20"/>
    </row>
    <row r="66" spans="1:9" x14ac:dyDescent="0.3">
      <c r="A66" s="8" t="s">
        <v>59</v>
      </c>
      <c r="B66" s="5">
        <f t="shared" si="3"/>
        <v>5</v>
      </c>
      <c r="C66" s="1">
        <f>_xlfn.XLOOKUP(A66,[1]Sheet1!$B$2:$B$115,[1]Sheet1!$F$2:$F$115)</f>
        <v>35</v>
      </c>
      <c r="D66" s="1">
        <f t="shared" si="4"/>
        <v>901</v>
      </c>
      <c r="E66" s="1">
        <f>SUMIF(data!$E$313:$E$1266,stats!A66,data!$D$313:$D$1266)</f>
        <v>6</v>
      </c>
      <c r="F66" s="17">
        <f t="shared" si="5"/>
        <v>6.6592674805771362E-3</v>
      </c>
      <c r="G66" s="1">
        <v>359</v>
      </c>
      <c r="H66" s="8"/>
      <c r="I66" s="20"/>
    </row>
    <row r="67" spans="1:9" x14ac:dyDescent="0.3">
      <c r="A67" s="8" t="s">
        <v>84</v>
      </c>
      <c r="B67" s="5">
        <f t="shared" si="3"/>
        <v>12</v>
      </c>
      <c r="C67" s="1">
        <f>_xlfn.XLOOKUP(A67,[1]Sheet1!$B$2:$B$115,[1]Sheet1!$F$2:$F$115)</f>
        <v>81</v>
      </c>
      <c r="D67" s="1">
        <f t="shared" si="4"/>
        <v>2162</v>
      </c>
      <c r="E67" s="1">
        <f>SUMIF(data!$E$313:$E$1266,stats!A67,data!$D$313:$D$1266)</f>
        <v>13</v>
      </c>
      <c r="F67" s="17">
        <f t="shared" si="5"/>
        <v>6.012950971322849E-3</v>
      </c>
      <c r="G67" s="1">
        <v>335</v>
      </c>
      <c r="H67" s="8"/>
      <c r="I67" s="20"/>
    </row>
    <row r="68" spans="1:9" x14ac:dyDescent="0.3">
      <c r="A68" s="8" t="s">
        <v>62</v>
      </c>
      <c r="B68" s="5">
        <f t="shared" ref="B68:B99" si="6">ROUND(B$1*C68,0)</f>
        <v>16</v>
      </c>
      <c r="C68" s="1">
        <f>_xlfn.XLOOKUP(A68,[1]Sheet1!$B$2:$B$115,[1]Sheet1!$F$2:$F$115)</f>
        <v>105</v>
      </c>
      <c r="D68" s="1">
        <f t="shared" ref="D68:D100" si="7">ROUND(47*B68*(B$1+1)/(2*B$1),0)</f>
        <v>2883</v>
      </c>
      <c r="E68" s="1">
        <f>SUMIF(data!$E$313:$E$1266,stats!A68,data!$D$313:$D$1266)</f>
        <v>17</v>
      </c>
      <c r="F68" s="17">
        <f t="shared" ref="F68:F99" si="8">E68/D68</f>
        <v>5.8966354491848767E-3</v>
      </c>
      <c r="G68" s="1">
        <v>324</v>
      </c>
      <c r="H68" s="8"/>
      <c r="I68" s="20"/>
    </row>
    <row r="69" spans="1:9" x14ac:dyDescent="0.3">
      <c r="A69" s="8" t="s">
        <v>92</v>
      </c>
      <c r="B69" s="5">
        <f t="shared" si="6"/>
        <v>1</v>
      </c>
      <c r="C69" s="1">
        <f>_xlfn.XLOOKUP(A69,[1]Sheet1!$B$2:$B$115,[1]Sheet1!$F$2:$F$115)</f>
        <v>7</v>
      </c>
      <c r="D69" s="1">
        <f t="shared" si="7"/>
        <v>180</v>
      </c>
      <c r="E69" s="1">
        <f>SUMIF(data!$E$313:$E$1266,stats!A69,data!$D$313:$D$1266)</f>
        <v>1</v>
      </c>
      <c r="F69" s="17">
        <f t="shared" si="8"/>
        <v>5.5555555555555558E-3</v>
      </c>
      <c r="G69" s="1">
        <v>384</v>
      </c>
      <c r="H69" s="8"/>
      <c r="I69" s="20"/>
    </row>
    <row r="70" spans="1:9" x14ac:dyDescent="0.3">
      <c r="A70" s="8" t="s">
        <v>95</v>
      </c>
      <c r="B70" s="5">
        <f t="shared" si="6"/>
        <v>1</v>
      </c>
      <c r="C70" s="1">
        <f>_xlfn.XLOOKUP(A70,[1]Sheet1!$B$2:$B$115,[1]Sheet1!$F$2:$F$115)</f>
        <v>5</v>
      </c>
      <c r="D70" s="1">
        <f t="shared" si="7"/>
        <v>180</v>
      </c>
      <c r="E70" s="1">
        <f>SUMIF(data!$E$313:$E$1266,stats!A70,data!$D$313:$D$1266)</f>
        <v>1</v>
      </c>
      <c r="F70" s="17">
        <f t="shared" si="8"/>
        <v>5.5555555555555558E-3</v>
      </c>
      <c r="G70" s="1">
        <v>326</v>
      </c>
      <c r="H70" s="8"/>
      <c r="I70" s="20"/>
    </row>
    <row r="71" spans="1:9" x14ac:dyDescent="0.3">
      <c r="A71" s="8" t="s">
        <v>111</v>
      </c>
      <c r="B71" s="5">
        <f t="shared" si="6"/>
        <v>1</v>
      </c>
      <c r="C71" s="1">
        <f>_xlfn.XLOOKUP(A71,[1]Sheet1!$B$2:$B$115,[1]Sheet1!$F$2:$F$115)</f>
        <v>9</v>
      </c>
      <c r="D71" s="1">
        <f t="shared" si="7"/>
        <v>180</v>
      </c>
      <c r="E71" s="1">
        <f>SUMIF(data!$E$313:$E$1266,stats!A71,data!$D$313:$D$1266)</f>
        <v>1</v>
      </c>
      <c r="F71" s="17">
        <f t="shared" si="8"/>
        <v>5.5555555555555558E-3</v>
      </c>
      <c r="G71" s="1">
        <v>227</v>
      </c>
      <c r="H71" s="8"/>
      <c r="I71" s="20"/>
    </row>
    <row r="72" spans="1:9" x14ac:dyDescent="0.3">
      <c r="A72" s="8" t="s">
        <v>19</v>
      </c>
      <c r="B72" s="5">
        <f t="shared" si="6"/>
        <v>5</v>
      </c>
      <c r="C72" s="1">
        <f>_xlfn.XLOOKUP(A72,[1]Sheet1!$B$2:$B$115,[1]Sheet1!$F$2:$F$115)</f>
        <v>32</v>
      </c>
      <c r="D72" s="1">
        <f t="shared" si="7"/>
        <v>901</v>
      </c>
      <c r="E72" s="1">
        <f>SUMIF(data!$E$313:$E$1266,stats!A72,data!$D$313:$D$1266)</f>
        <v>5</v>
      </c>
      <c r="F72" s="17">
        <f t="shared" si="8"/>
        <v>5.5493895671476137E-3</v>
      </c>
      <c r="G72" s="1">
        <v>355</v>
      </c>
      <c r="H72" s="8"/>
      <c r="I72" s="20"/>
    </row>
    <row r="73" spans="1:9" x14ac:dyDescent="0.3">
      <c r="A73" s="8" t="s">
        <v>56</v>
      </c>
      <c r="B73" s="5">
        <f t="shared" si="6"/>
        <v>3</v>
      </c>
      <c r="C73" s="1">
        <f>_xlfn.XLOOKUP(A73,[1]Sheet1!$B$2:$B$115,[1]Sheet1!$F$2:$F$115)</f>
        <v>18</v>
      </c>
      <c r="D73" s="1">
        <f t="shared" si="7"/>
        <v>541</v>
      </c>
      <c r="E73" s="1">
        <f>SUMIF(data!$E$313:$E$1266,stats!A73,data!$D$313:$D$1266)</f>
        <v>3</v>
      </c>
      <c r="F73" s="17">
        <f t="shared" si="8"/>
        <v>5.5452865064695009E-3</v>
      </c>
      <c r="G73" s="1">
        <v>368</v>
      </c>
      <c r="H73" s="8"/>
      <c r="I73" s="20"/>
    </row>
    <row r="74" spans="1:9" x14ac:dyDescent="0.3">
      <c r="A74" s="8" t="s">
        <v>117</v>
      </c>
      <c r="B74" s="5">
        <f t="shared" si="6"/>
        <v>3</v>
      </c>
      <c r="C74" s="1">
        <f>_xlfn.XLOOKUP(A74,[1]Sheet1!$B$2:$B$115,[1]Sheet1!$F$2:$F$115)</f>
        <v>19</v>
      </c>
      <c r="D74" s="1">
        <f t="shared" si="7"/>
        <v>541</v>
      </c>
      <c r="E74" s="1">
        <f>SUMIF(data!$E$313:$E$1266,stats!A74,data!$D$313:$D$1266)</f>
        <v>3</v>
      </c>
      <c r="F74" s="17">
        <f t="shared" si="8"/>
        <v>5.5452865064695009E-3</v>
      </c>
      <c r="G74" s="1">
        <v>176</v>
      </c>
      <c r="H74" s="8"/>
      <c r="I74" s="20"/>
    </row>
    <row r="75" spans="1:9" x14ac:dyDescent="0.3">
      <c r="A75" s="8" t="s">
        <v>85</v>
      </c>
      <c r="B75" s="5">
        <f t="shared" si="6"/>
        <v>13</v>
      </c>
      <c r="C75" s="1">
        <f>_xlfn.XLOOKUP(A75,[1]Sheet1!$B$2:$B$115,[1]Sheet1!$F$2:$F$115)</f>
        <v>88</v>
      </c>
      <c r="D75" s="1">
        <f t="shared" si="7"/>
        <v>2342</v>
      </c>
      <c r="E75" s="1">
        <f>SUMIF(data!$E$313:$E$1266,stats!A75,data!$D$313:$D$1266)</f>
        <v>12</v>
      </c>
      <c r="F75" s="17">
        <f t="shared" si="8"/>
        <v>5.1238257899231428E-3</v>
      </c>
      <c r="G75" s="1">
        <v>346</v>
      </c>
      <c r="H75" s="8"/>
      <c r="I75" s="20"/>
    </row>
    <row r="76" spans="1:9" x14ac:dyDescent="0.3">
      <c r="A76" s="8" t="s">
        <v>110</v>
      </c>
      <c r="B76" s="5">
        <f t="shared" si="6"/>
        <v>7</v>
      </c>
      <c r="C76" s="1">
        <f>_xlfn.XLOOKUP(A76,[1]Sheet1!$B$2:$B$115,[1]Sheet1!$F$2:$F$115)</f>
        <v>48</v>
      </c>
      <c r="D76" s="1">
        <f t="shared" si="7"/>
        <v>1261</v>
      </c>
      <c r="E76" s="1">
        <f>SUMIF(data!$E$313:$E$1266,stats!A76,data!$D$313:$D$1266)</f>
        <v>6</v>
      </c>
      <c r="F76" s="17">
        <f t="shared" si="8"/>
        <v>4.7581284694686752E-3</v>
      </c>
      <c r="G76" s="1">
        <v>298</v>
      </c>
      <c r="H76" s="8"/>
      <c r="I76" s="20"/>
    </row>
    <row r="77" spans="1:9" x14ac:dyDescent="0.3">
      <c r="A77" s="8" t="s">
        <v>79</v>
      </c>
      <c r="B77" s="5">
        <f t="shared" si="6"/>
        <v>5</v>
      </c>
      <c r="C77" s="1">
        <f>_xlfn.XLOOKUP(A77,[1]Sheet1!$B$2:$B$115,[1]Sheet1!$F$2:$F$115)</f>
        <v>31</v>
      </c>
      <c r="D77" s="1">
        <f t="shared" si="7"/>
        <v>901</v>
      </c>
      <c r="E77" s="1">
        <f>SUMIF(data!$E$313:$E$1266,stats!A77,data!$D$313:$D$1266)</f>
        <v>4</v>
      </c>
      <c r="F77" s="17">
        <f t="shared" si="8"/>
        <v>4.4395116537180911E-3</v>
      </c>
      <c r="G77" s="1">
        <v>354</v>
      </c>
      <c r="H77" s="8"/>
      <c r="I77" s="20"/>
    </row>
    <row r="78" spans="1:9" x14ac:dyDescent="0.3">
      <c r="A78" s="8" t="s">
        <v>136</v>
      </c>
      <c r="B78" s="5">
        <f t="shared" si="6"/>
        <v>4</v>
      </c>
      <c r="C78" s="1">
        <f>_xlfn.XLOOKUP(A78,[1]Sheet1!$B$2:$B$115,[1]Sheet1!$F$2:$F$115)</f>
        <v>26</v>
      </c>
      <c r="D78" s="1">
        <f t="shared" si="7"/>
        <v>721</v>
      </c>
      <c r="E78" s="1">
        <f>SUMIF(data!$E$313:$E$1266,stats!A78,data!$D$313:$D$1266)</f>
        <v>3</v>
      </c>
      <c r="F78" s="17">
        <f t="shared" si="8"/>
        <v>4.160887656033287E-3</v>
      </c>
      <c r="G78" s="1">
        <v>352</v>
      </c>
      <c r="H78" s="8"/>
      <c r="I78" s="20"/>
    </row>
    <row r="79" spans="1:9" x14ac:dyDescent="0.3">
      <c r="A79" s="8" t="s">
        <v>130</v>
      </c>
      <c r="B79" s="5">
        <f t="shared" si="6"/>
        <v>4</v>
      </c>
      <c r="C79" s="1">
        <f>_xlfn.XLOOKUP(A79,[1]Sheet1!$B$2:$B$115,[1]Sheet1!$F$2:$F$115)</f>
        <v>28</v>
      </c>
      <c r="D79" s="1">
        <f t="shared" si="7"/>
        <v>721</v>
      </c>
      <c r="E79" s="1">
        <f>SUMIF(data!$E$313:$E$1266,stats!A79,data!$D$313:$D$1266)</f>
        <v>3</v>
      </c>
      <c r="F79" s="17">
        <f t="shared" si="8"/>
        <v>4.160887656033287E-3</v>
      </c>
      <c r="G79" s="1">
        <v>373</v>
      </c>
      <c r="H79" s="8"/>
      <c r="I79" s="20"/>
    </row>
    <row r="80" spans="1:9" x14ac:dyDescent="0.3">
      <c r="A80" s="8" t="s">
        <v>74</v>
      </c>
      <c r="B80" s="5">
        <f t="shared" si="6"/>
        <v>12</v>
      </c>
      <c r="C80" s="1">
        <f>_xlfn.XLOOKUP(A80,[1]Sheet1!$B$2:$B$115,[1]Sheet1!$F$2:$F$115)</f>
        <v>80</v>
      </c>
      <c r="D80" s="1">
        <f t="shared" si="7"/>
        <v>2162</v>
      </c>
      <c r="E80" s="1">
        <f>SUMIF(data!$E$313:$E$1266,stats!A80,data!$D$313:$D$1266)</f>
        <v>8</v>
      </c>
      <c r="F80" s="17">
        <f t="shared" si="8"/>
        <v>3.7002775208140612E-3</v>
      </c>
      <c r="G80" s="1">
        <v>122</v>
      </c>
    </row>
    <row r="81" spans="1:7" x14ac:dyDescent="0.3">
      <c r="A81" s="8" t="s">
        <v>90</v>
      </c>
      <c r="B81" s="5">
        <f t="shared" si="6"/>
        <v>7</v>
      </c>
      <c r="C81" s="1">
        <f>_xlfn.XLOOKUP(A81,[1]Sheet1!$B$2:$B$115,[1]Sheet1!$F$2:$F$115)</f>
        <v>44</v>
      </c>
      <c r="D81" s="1">
        <f t="shared" si="7"/>
        <v>1261</v>
      </c>
      <c r="E81" s="1">
        <f>SUMIF(data!$E$313:$E$1266,stats!A81,data!$D$313:$D$1266)</f>
        <v>4</v>
      </c>
      <c r="F81" s="17">
        <f t="shared" si="8"/>
        <v>3.1720856463124504E-3</v>
      </c>
      <c r="G81" s="1">
        <v>121</v>
      </c>
    </row>
    <row r="82" spans="1:7" x14ac:dyDescent="0.3">
      <c r="A82" s="8" t="s">
        <v>113</v>
      </c>
      <c r="B82" s="5">
        <f t="shared" si="6"/>
        <v>2</v>
      </c>
      <c r="C82" s="1">
        <f>_xlfn.XLOOKUP(A82,[1]Sheet1!$B$2:$B$115,[1]Sheet1!$F$2:$F$115)</f>
        <v>16</v>
      </c>
      <c r="D82" s="1">
        <f t="shared" si="7"/>
        <v>360</v>
      </c>
      <c r="E82" s="1">
        <f>SUMIF(data!$E$313:$E$1266,stats!A82,data!$D$313:$D$1266)</f>
        <v>1</v>
      </c>
      <c r="F82" s="17">
        <f t="shared" si="8"/>
        <v>2.7777777777777779E-3</v>
      </c>
      <c r="G82" s="1">
        <v>336</v>
      </c>
    </row>
    <row r="83" spans="1:7" x14ac:dyDescent="0.3">
      <c r="A83" s="8" t="s">
        <v>289</v>
      </c>
      <c r="B83" s="5">
        <f t="shared" si="6"/>
        <v>2</v>
      </c>
      <c r="C83" s="1">
        <f>_xlfn.XLOOKUP(A83,[1]Sheet1!$B$2:$B$115,[1]Sheet1!$F$2:$F$115)</f>
        <v>11</v>
      </c>
      <c r="D83" s="1">
        <f t="shared" si="7"/>
        <v>360</v>
      </c>
      <c r="E83" s="1">
        <f>SUMIF(data!$E$313:$E$1266,stats!A83,data!$D$313:$D$1266)</f>
        <v>1</v>
      </c>
      <c r="F83" s="17">
        <f t="shared" si="8"/>
        <v>2.7777777777777779E-3</v>
      </c>
      <c r="G83" s="1">
        <v>157</v>
      </c>
    </row>
    <row r="84" spans="1:7" x14ac:dyDescent="0.3">
      <c r="A84" s="8" t="s">
        <v>135</v>
      </c>
      <c r="B84" s="5">
        <f t="shared" si="6"/>
        <v>14</v>
      </c>
      <c r="C84" s="1">
        <f>_xlfn.XLOOKUP(A84,[1]Sheet1!$B$2:$B$115,[1]Sheet1!$F$2:$F$115)</f>
        <v>93</v>
      </c>
      <c r="D84" s="1">
        <f t="shared" si="7"/>
        <v>2522</v>
      </c>
      <c r="E84" s="1">
        <f>SUMIF(data!$E$313:$E$1266,stats!A84,data!$D$313:$D$1266)</f>
        <v>7</v>
      </c>
      <c r="F84" s="17">
        <f t="shared" si="8"/>
        <v>2.7755749405233942E-3</v>
      </c>
      <c r="G84" s="1">
        <v>345</v>
      </c>
    </row>
    <row r="85" spans="1:7" x14ac:dyDescent="0.3">
      <c r="A85" s="8" t="s">
        <v>54</v>
      </c>
      <c r="B85" s="5">
        <f t="shared" si="6"/>
        <v>6</v>
      </c>
      <c r="C85" s="1">
        <f>_xlfn.XLOOKUP(A85,[1]Sheet1!$B$2:$B$115,[1]Sheet1!$F$2:$F$115)</f>
        <v>42</v>
      </c>
      <c r="D85" s="1">
        <f t="shared" si="7"/>
        <v>1081</v>
      </c>
      <c r="E85" s="1">
        <f>SUMIF(data!$E$313:$E$1266,stats!A85,data!$D$313:$D$1266)</f>
        <v>3</v>
      </c>
      <c r="F85" s="17">
        <f t="shared" si="8"/>
        <v>2.7752081406105457E-3</v>
      </c>
      <c r="G85" s="1">
        <v>267</v>
      </c>
    </row>
    <row r="86" spans="1:7" x14ac:dyDescent="0.3">
      <c r="A86" s="8" t="s">
        <v>101</v>
      </c>
      <c r="B86" s="5">
        <f t="shared" si="6"/>
        <v>4</v>
      </c>
      <c r="C86" s="1">
        <f>_xlfn.XLOOKUP(A86,[1]Sheet1!$B$2:$B$115,[1]Sheet1!$F$2:$F$115)</f>
        <v>27</v>
      </c>
      <c r="D86" s="1">
        <f t="shared" si="7"/>
        <v>721</v>
      </c>
      <c r="E86" s="1">
        <f>SUMIF(data!$E$313:$E$1266,stats!A86,data!$D$313:$D$1266)</f>
        <v>2</v>
      </c>
      <c r="F86" s="17">
        <f t="shared" si="8"/>
        <v>2.7739251040221915E-3</v>
      </c>
      <c r="G86" s="1">
        <v>445</v>
      </c>
    </row>
    <row r="87" spans="1:7" x14ac:dyDescent="0.3">
      <c r="A87" s="8" t="s">
        <v>69</v>
      </c>
      <c r="B87" s="5">
        <f t="shared" si="6"/>
        <v>12</v>
      </c>
      <c r="C87" s="1">
        <f>_xlfn.XLOOKUP(A87,[1]Sheet1!$B$2:$B$115,[1]Sheet1!$F$2:$F$115)</f>
        <v>77</v>
      </c>
      <c r="D87" s="1">
        <f t="shared" si="7"/>
        <v>2162</v>
      </c>
      <c r="E87" s="1">
        <f>SUMIF(data!$E$313:$E$1266,stats!A87,data!$D$313:$D$1266)</f>
        <v>5</v>
      </c>
      <c r="F87" s="17">
        <f t="shared" si="8"/>
        <v>2.3126734505087882E-3</v>
      </c>
      <c r="G87" s="1">
        <v>449</v>
      </c>
    </row>
    <row r="88" spans="1:7" x14ac:dyDescent="0.3">
      <c r="A88" s="8" t="s">
        <v>124</v>
      </c>
      <c r="B88" s="5">
        <f t="shared" si="6"/>
        <v>13</v>
      </c>
      <c r="C88" s="1">
        <f>_xlfn.XLOOKUP(A88,[1]Sheet1!$B$2:$B$115,[1]Sheet1!$F$2:$F$115)</f>
        <v>84</v>
      </c>
      <c r="D88" s="1">
        <f t="shared" si="7"/>
        <v>2342</v>
      </c>
      <c r="E88" s="1">
        <f>SUMIF(data!$E$313:$E$1266,stats!A88,data!$D$313:$D$1266)</f>
        <v>5</v>
      </c>
      <c r="F88" s="17">
        <f t="shared" si="8"/>
        <v>2.134927412467976E-3</v>
      </c>
      <c r="G88" s="1">
        <v>316</v>
      </c>
    </row>
    <row r="89" spans="1:7" x14ac:dyDescent="0.3">
      <c r="A89" s="8" t="s">
        <v>86</v>
      </c>
      <c r="B89" s="5">
        <f t="shared" si="6"/>
        <v>22</v>
      </c>
      <c r="C89" s="1">
        <f>_xlfn.XLOOKUP(A89,[1]Sheet1!$B$2:$B$115,[1]Sheet1!$F$2:$F$115)</f>
        <v>147</v>
      </c>
      <c r="D89" s="1">
        <f t="shared" si="7"/>
        <v>3964</v>
      </c>
      <c r="E89" s="1">
        <f>SUMIF(data!$E$313:$E$1266,stats!A89,data!$D$313:$D$1266)</f>
        <v>8</v>
      </c>
      <c r="F89" s="17">
        <f t="shared" si="8"/>
        <v>2.0181634712411706E-3</v>
      </c>
      <c r="G89" s="1">
        <v>318</v>
      </c>
    </row>
    <row r="90" spans="1:7" x14ac:dyDescent="0.3">
      <c r="A90" s="8" t="s">
        <v>115</v>
      </c>
      <c r="B90" s="5">
        <f t="shared" si="6"/>
        <v>3</v>
      </c>
      <c r="C90" s="1">
        <f>_xlfn.XLOOKUP(A90,[1]Sheet1!$B$2:$B$115,[1]Sheet1!$F$2:$F$115)</f>
        <v>23</v>
      </c>
      <c r="D90" s="1">
        <f t="shared" si="7"/>
        <v>541</v>
      </c>
      <c r="E90" s="1">
        <f>SUMIF(data!$E$313:$E$1266,stats!A90,data!$D$313:$D$1266)</f>
        <v>1</v>
      </c>
      <c r="F90" s="17">
        <f t="shared" si="8"/>
        <v>1.8484288354898336E-3</v>
      </c>
      <c r="G90" s="1">
        <v>275</v>
      </c>
    </row>
    <row r="91" spans="1:7" x14ac:dyDescent="0.3">
      <c r="A91" s="8" t="s">
        <v>128</v>
      </c>
      <c r="B91" s="5">
        <f t="shared" si="6"/>
        <v>7</v>
      </c>
      <c r="C91" s="1">
        <f>_xlfn.XLOOKUP(A91,[1]Sheet1!$B$2:$B$115,[1]Sheet1!$F$2:$F$115)</f>
        <v>44</v>
      </c>
      <c r="D91" s="1">
        <f t="shared" si="7"/>
        <v>1261</v>
      </c>
      <c r="E91" s="1">
        <f>SUMIF(data!$E$313:$E$1266,stats!A91,data!$D$313:$D$1266)</f>
        <v>2</v>
      </c>
      <c r="F91" s="17">
        <f t="shared" si="8"/>
        <v>1.5860428231562252E-3</v>
      </c>
      <c r="G91" s="1">
        <v>359</v>
      </c>
    </row>
    <row r="92" spans="1:7" x14ac:dyDescent="0.3">
      <c r="A92" s="8" t="s">
        <v>122</v>
      </c>
      <c r="B92" s="5">
        <f t="shared" si="6"/>
        <v>7</v>
      </c>
      <c r="C92" s="1">
        <f>_xlfn.XLOOKUP(A92,[1]Sheet1!$B$2:$B$115,[1]Sheet1!$F$2:$F$115)</f>
        <v>45</v>
      </c>
      <c r="D92" s="1">
        <f t="shared" si="7"/>
        <v>1261</v>
      </c>
      <c r="E92" s="1">
        <f>SUMIF(data!$E$313:$E$1266,stats!A92,data!$D$313:$D$1266)</f>
        <v>2</v>
      </c>
      <c r="F92" s="17">
        <f t="shared" si="8"/>
        <v>1.5860428231562252E-3</v>
      </c>
      <c r="G92" s="1">
        <v>333</v>
      </c>
    </row>
    <row r="93" spans="1:7" x14ac:dyDescent="0.3">
      <c r="A93" s="8" t="s">
        <v>107</v>
      </c>
      <c r="B93" s="5">
        <f t="shared" si="6"/>
        <v>15</v>
      </c>
      <c r="C93" s="1">
        <f>_xlfn.XLOOKUP(A93,[1]Sheet1!$B$2:$B$115,[1]Sheet1!$F$2:$F$115)</f>
        <v>98</v>
      </c>
      <c r="D93" s="1">
        <f t="shared" si="7"/>
        <v>2703</v>
      </c>
      <c r="E93" s="1">
        <f>SUMIF(data!$E$313:$E$1266,stats!A93,data!$D$313:$D$1266)</f>
        <v>4</v>
      </c>
      <c r="F93" s="17">
        <f t="shared" si="8"/>
        <v>1.4798372179060304E-3</v>
      </c>
      <c r="G93" s="1">
        <v>310</v>
      </c>
    </row>
    <row r="94" spans="1:7" x14ac:dyDescent="0.3">
      <c r="A94" s="8" t="s">
        <v>80</v>
      </c>
      <c r="B94" s="5">
        <f t="shared" si="6"/>
        <v>4</v>
      </c>
      <c r="C94" s="1">
        <f>_xlfn.XLOOKUP(A94,[1]Sheet1!$B$2:$B$115,[1]Sheet1!$F$2:$F$115)</f>
        <v>25</v>
      </c>
      <c r="D94" s="1">
        <f t="shared" si="7"/>
        <v>721</v>
      </c>
      <c r="E94" s="1">
        <f>SUMIF(data!$E$313:$E$1266,stats!A94,data!$D$313:$D$1266)</f>
        <v>1</v>
      </c>
      <c r="F94" s="17">
        <f t="shared" si="8"/>
        <v>1.3869625520110957E-3</v>
      </c>
      <c r="G94" s="1">
        <v>529</v>
      </c>
    </row>
    <row r="95" spans="1:7" x14ac:dyDescent="0.3">
      <c r="A95" s="11" t="s">
        <v>300</v>
      </c>
      <c r="B95" s="5">
        <f t="shared" si="6"/>
        <v>6</v>
      </c>
      <c r="C95" s="1">
        <f>_xlfn.XLOOKUP(A95,[1]Sheet1!$B$2:$B$115,[1]Sheet1!$F$2:$F$115)</f>
        <v>38</v>
      </c>
      <c r="D95" s="1">
        <f t="shared" si="7"/>
        <v>1081</v>
      </c>
      <c r="E95" s="1">
        <f>SUMIF(data!$E$313:$E$1266,stats!A95,data!$D$313:$D$1266)</f>
        <v>1</v>
      </c>
      <c r="F95" s="17">
        <f t="shared" si="8"/>
        <v>9.2506938020351531E-4</v>
      </c>
      <c r="G95" s="1">
        <v>373</v>
      </c>
    </row>
    <row r="96" spans="1:7" x14ac:dyDescent="0.3">
      <c r="A96" s="8" t="s">
        <v>15</v>
      </c>
      <c r="B96" s="5">
        <f t="shared" si="6"/>
        <v>6</v>
      </c>
      <c r="C96" s="1">
        <f>_xlfn.XLOOKUP(A96,[1]Sheet1!$B$2:$B$115,[1]Sheet1!$F$2:$F$115)</f>
        <v>40</v>
      </c>
      <c r="D96" s="1">
        <f t="shared" si="7"/>
        <v>1081</v>
      </c>
      <c r="E96" s="1">
        <f>SUMIF(data!$E$313:$E$1266,stats!A96,data!$D$313:$D$1266)</f>
        <v>1</v>
      </c>
      <c r="F96" s="17">
        <f t="shared" si="8"/>
        <v>9.2506938020351531E-4</v>
      </c>
      <c r="G96" s="1">
        <v>320</v>
      </c>
    </row>
    <row r="97" spans="1:7" x14ac:dyDescent="0.3">
      <c r="A97" s="8" t="s">
        <v>119</v>
      </c>
      <c r="B97" s="5">
        <f t="shared" si="6"/>
        <v>14</v>
      </c>
      <c r="C97" s="1">
        <f>_xlfn.XLOOKUP(A97,[1]Sheet1!$B$2:$B$115,[1]Sheet1!$F$2:$F$115)</f>
        <v>90</v>
      </c>
      <c r="D97" s="1">
        <f t="shared" si="7"/>
        <v>2522</v>
      </c>
      <c r="E97" s="1">
        <f>SUMIF(data!$E$313:$E$1266,stats!A97,data!$D$313:$D$1266)</f>
        <v>2</v>
      </c>
      <c r="F97" s="17">
        <f t="shared" si="8"/>
        <v>7.9302141157811261E-4</v>
      </c>
      <c r="G97" s="1">
        <v>354</v>
      </c>
    </row>
    <row r="98" spans="1:7" x14ac:dyDescent="0.3">
      <c r="A98" s="8" t="s">
        <v>134</v>
      </c>
      <c r="B98" s="5">
        <f t="shared" si="6"/>
        <v>7</v>
      </c>
      <c r="C98" s="1">
        <f>_xlfn.XLOOKUP(A98,[1]Sheet1!$B$2:$B$115,[1]Sheet1!$F$2:$F$115)</f>
        <v>46</v>
      </c>
      <c r="D98" s="1">
        <f t="shared" si="7"/>
        <v>1261</v>
      </c>
      <c r="E98" s="1">
        <f>SUMIF(data!$E$313:$E$1266,stats!A98,data!$D$313:$D$1266)</f>
        <v>1</v>
      </c>
      <c r="F98" s="17">
        <f t="shared" si="8"/>
        <v>7.9302141157811261E-4</v>
      </c>
      <c r="G98" s="1">
        <v>464</v>
      </c>
    </row>
    <row r="99" spans="1:7" x14ac:dyDescent="0.3">
      <c r="A99" s="8" t="s">
        <v>114</v>
      </c>
      <c r="B99" s="5">
        <f t="shared" si="6"/>
        <v>8</v>
      </c>
      <c r="C99" s="1">
        <f>_xlfn.XLOOKUP(A99,[1]Sheet1!$B$2:$B$115,[1]Sheet1!$F$2:$F$115)</f>
        <v>56</v>
      </c>
      <c r="D99" s="1">
        <f t="shared" si="7"/>
        <v>1441</v>
      </c>
      <c r="E99" s="1">
        <f>SUMIF(data!$E$313:$E$1266,stats!A99,data!$D$313:$D$1266)</f>
        <v>1</v>
      </c>
      <c r="F99" s="17">
        <f t="shared" si="8"/>
        <v>6.939625260235947E-4</v>
      </c>
      <c r="G99" s="1">
        <v>370</v>
      </c>
    </row>
    <row r="100" spans="1:7" x14ac:dyDescent="0.3">
      <c r="A100" s="8" t="s">
        <v>26</v>
      </c>
      <c r="B100" s="5">
        <f t="shared" ref="B100:B131" si="9">ROUND(B$1*C100,0)</f>
        <v>21</v>
      </c>
      <c r="C100" s="7">
        <f>_xlfn.XLOOKUP(A100,[1]Sheet1!$B$2:$B$115,[1]Sheet1!$F$2:$F$115)</f>
        <v>139</v>
      </c>
      <c r="D100" s="1">
        <f t="shared" si="7"/>
        <v>3784</v>
      </c>
      <c r="E100" s="7">
        <f>SUMIF(data!$E$313:$E$1266,stats!A100,data!$D$313:$D$1266)</f>
        <v>1</v>
      </c>
      <c r="F100" s="17">
        <f t="shared" ref="F100:F131" si="10">E100/D100</f>
        <v>2.6427061310782242E-4</v>
      </c>
      <c r="G100" s="1">
        <v>330</v>
      </c>
    </row>
    <row r="101" spans="1:7" x14ac:dyDescent="0.3">
      <c r="C101" s="1">
        <f>SUM(C4:C100)</f>
        <v>4153</v>
      </c>
      <c r="E101" s="1">
        <f>SUM(E4:E100)</f>
        <v>4635</v>
      </c>
    </row>
    <row r="102" spans="1:7" ht="7.8" customHeight="1" x14ac:dyDescent="0.3"/>
    <row r="103" spans="1:7" x14ac:dyDescent="0.3">
      <c r="B103" s="21" t="s">
        <v>305</v>
      </c>
      <c r="C103" s="1"/>
      <c r="F103" t="s">
        <v>329</v>
      </c>
    </row>
    <row r="104" spans="1:7" x14ac:dyDescent="0.3">
      <c r="B104">
        <v>9</v>
      </c>
      <c r="C104" t="s">
        <v>303</v>
      </c>
      <c r="F104" s="20">
        <v>11</v>
      </c>
    </row>
    <row r="105" spans="1:7" x14ac:dyDescent="0.3">
      <c r="B105">
        <v>266</v>
      </c>
      <c r="C105" t="s">
        <v>301</v>
      </c>
      <c r="F105" s="20">
        <v>682</v>
      </c>
    </row>
    <row r="106" spans="1:7" x14ac:dyDescent="0.3">
      <c r="B106">
        <v>26</v>
      </c>
      <c r="C106" t="s">
        <v>306</v>
      </c>
      <c r="F106" s="20">
        <v>110</v>
      </c>
    </row>
    <row r="107" spans="1:7" x14ac:dyDescent="0.3">
      <c r="B107" s="6">
        <v>10</v>
      </c>
      <c r="C107" t="s">
        <v>302</v>
      </c>
      <c r="F107" s="22">
        <v>79</v>
      </c>
    </row>
    <row r="108" spans="1:7" x14ac:dyDescent="0.3">
      <c r="B108">
        <f>SUM(B104:B107)</f>
        <v>311</v>
      </c>
      <c r="C108" t="s">
        <v>304</v>
      </c>
      <c r="F108" s="20">
        <f>SUM(F104:F107)</f>
        <v>882</v>
      </c>
      <c r="G108" t="s">
        <v>304</v>
      </c>
    </row>
    <row r="109" spans="1:7" x14ac:dyDescent="0.3">
      <c r="E109">
        <f>E101</f>
        <v>4635</v>
      </c>
    </row>
    <row r="110" spans="1:7" x14ac:dyDescent="0.3">
      <c r="E110" s="6">
        <f>F108</f>
        <v>882</v>
      </c>
    </row>
    <row r="111" spans="1:7" x14ac:dyDescent="0.3">
      <c r="E111">
        <f>SUM(E109:E110)</f>
        <v>5517</v>
      </c>
      <c r="F111" t="s">
        <v>307</v>
      </c>
    </row>
    <row r="112" spans="1:7" ht="24.6" x14ac:dyDescent="0.3">
      <c r="A112" s="7" t="s">
        <v>310</v>
      </c>
      <c r="C112" s="24" t="s">
        <v>328</v>
      </c>
    </row>
    <row r="113" spans="1:3" x14ac:dyDescent="0.3">
      <c r="A113" t="s">
        <v>311</v>
      </c>
      <c r="C113" s="1">
        <v>18</v>
      </c>
    </row>
    <row r="114" spans="1:3" x14ac:dyDescent="0.3">
      <c r="A114" t="s">
        <v>324</v>
      </c>
      <c r="C114" s="1">
        <v>20</v>
      </c>
    </row>
    <row r="115" spans="1:3" x14ac:dyDescent="0.3">
      <c r="A115" t="s">
        <v>322</v>
      </c>
      <c r="C115" s="1">
        <v>14</v>
      </c>
    </row>
    <row r="116" spans="1:3" x14ac:dyDescent="0.3">
      <c r="A116" t="s">
        <v>323</v>
      </c>
      <c r="C116" s="1">
        <v>15</v>
      </c>
    </row>
    <row r="117" spans="1:3" x14ac:dyDescent="0.3">
      <c r="A117" t="s">
        <v>321</v>
      </c>
      <c r="C117" s="1">
        <v>61</v>
      </c>
    </row>
    <row r="118" spans="1:3" x14ac:dyDescent="0.3">
      <c r="A118" t="s">
        <v>320</v>
      </c>
      <c r="C118" s="1">
        <v>30</v>
      </c>
    </row>
    <row r="119" spans="1:3" x14ac:dyDescent="0.3">
      <c r="A119" t="s">
        <v>319</v>
      </c>
      <c r="C119" s="1">
        <v>32</v>
      </c>
    </row>
    <row r="120" spans="1:3" x14ac:dyDescent="0.3">
      <c r="A120" t="s">
        <v>318</v>
      </c>
      <c r="C120" s="1">
        <v>17</v>
      </c>
    </row>
    <row r="121" spans="1:3" x14ac:dyDescent="0.3">
      <c r="A121" t="s">
        <v>317</v>
      </c>
      <c r="C121" s="1">
        <v>42</v>
      </c>
    </row>
    <row r="122" spans="1:3" x14ac:dyDescent="0.3">
      <c r="A122" t="s">
        <v>315</v>
      </c>
      <c r="C122" s="1">
        <v>18</v>
      </c>
    </row>
    <row r="123" spans="1:3" x14ac:dyDescent="0.3">
      <c r="A123" t="s">
        <v>316</v>
      </c>
      <c r="C123" s="1">
        <v>28</v>
      </c>
    </row>
    <row r="124" spans="1:3" x14ac:dyDescent="0.3">
      <c r="A124" t="s">
        <v>312</v>
      </c>
      <c r="C124" s="1">
        <v>61</v>
      </c>
    </row>
    <row r="125" spans="1:3" x14ac:dyDescent="0.3">
      <c r="A125" t="s">
        <v>326</v>
      </c>
      <c r="C125" s="1">
        <v>27</v>
      </c>
    </row>
    <row r="126" spans="1:3" x14ac:dyDescent="0.3">
      <c r="A126" t="s">
        <v>314</v>
      </c>
      <c r="C126" s="1">
        <v>20</v>
      </c>
    </row>
    <row r="127" spans="1:3" x14ac:dyDescent="0.3">
      <c r="A127" t="s">
        <v>327</v>
      </c>
      <c r="C127" s="1">
        <v>7</v>
      </c>
    </row>
    <row r="128" spans="1:3" x14ac:dyDescent="0.3">
      <c r="A128" t="s">
        <v>313</v>
      </c>
      <c r="C128" s="1">
        <v>18</v>
      </c>
    </row>
    <row r="129" spans="1:3" x14ac:dyDescent="0.3">
      <c r="A129" t="s">
        <v>325</v>
      </c>
      <c r="C129" s="1">
        <v>12</v>
      </c>
    </row>
    <row r="130" spans="1:3" ht="7.8" customHeight="1" x14ac:dyDescent="0.3"/>
    <row r="131" spans="1:3" x14ac:dyDescent="0.3">
      <c r="A131" s="15" t="s">
        <v>331</v>
      </c>
    </row>
    <row r="170" spans="2:2" x14ac:dyDescent="0.3">
      <c r="B170" s="1" t="s">
        <v>311</v>
      </c>
    </row>
  </sheetData>
  <sortState xmlns:xlrd2="http://schemas.microsoft.com/office/spreadsheetml/2017/richdata2" ref="A113:A129">
    <sortCondition ref="A112:A129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8EC5-E4FA-4DDE-B312-353C6E219D1F}">
  <dimension ref="A1"/>
  <sheetViews>
    <sheetView tabSelected="1" workbookViewId="0">
      <selection activeCell="F20" sqref="F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AC8C-6350-4614-8121-D23B91BDE01A}">
  <dimension ref="A1:I113"/>
  <sheetViews>
    <sheetView workbookViewId="0">
      <selection activeCell="A4" sqref="A4"/>
    </sheetView>
  </sheetViews>
  <sheetFormatPr defaultRowHeight="14.4" x14ac:dyDescent="0.3"/>
  <cols>
    <col min="9" max="9" width="31.44140625" customWidth="1"/>
  </cols>
  <sheetData>
    <row r="1" spans="1:9" x14ac:dyDescent="0.3">
      <c r="A1" t="s">
        <v>332</v>
      </c>
      <c r="I1" s="8"/>
    </row>
    <row r="2" spans="1:9" x14ac:dyDescent="0.3">
      <c r="I2" s="8"/>
    </row>
    <row r="3" spans="1:9" x14ac:dyDescent="0.3">
      <c r="A3" s="15" t="s">
        <v>290</v>
      </c>
      <c r="I3" s="8"/>
    </row>
    <row r="4" spans="1:9" x14ac:dyDescent="0.3">
      <c r="I4" s="8"/>
    </row>
    <row r="6" spans="1:9" x14ac:dyDescent="0.3">
      <c r="I6" s="8"/>
    </row>
    <row r="7" spans="1:9" x14ac:dyDescent="0.3">
      <c r="I7" s="8"/>
    </row>
    <row r="8" spans="1:9" x14ac:dyDescent="0.3">
      <c r="I8" s="8"/>
    </row>
    <row r="9" spans="1:9" x14ac:dyDescent="0.3">
      <c r="I9" s="8"/>
    </row>
    <row r="10" spans="1:9" x14ac:dyDescent="0.3">
      <c r="I10" s="8"/>
    </row>
    <row r="11" spans="1:9" x14ac:dyDescent="0.3">
      <c r="I11" s="8"/>
    </row>
    <row r="12" spans="1:9" x14ac:dyDescent="0.3">
      <c r="I12" s="8"/>
    </row>
    <row r="13" spans="1:9" x14ac:dyDescent="0.3">
      <c r="I13" s="8"/>
    </row>
    <row r="14" spans="1:9" x14ac:dyDescent="0.3">
      <c r="I14" s="8"/>
    </row>
    <row r="15" spans="1:9" x14ac:dyDescent="0.3">
      <c r="I15" s="8"/>
    </row>
    <row r="16" spans="1:9" x14ac:dyDescent="0.3">
      <c r="I16" s="8"/>
    </row>
    <row r="17" spans="9:9" x14ac:dyDescent="0.3">
      <c r="I17" s="8"/>
    </row>
    <row r="18" spans="9:9" x14ac:dyDescent="0.3">
      <c r="I18" s="8"/>
    </row>
    <row r="19" spans="9:9" x14ac:dyDescent="0.3">
      <c r="I19" s="8"/>
    </row>
    <row r="20" spans="9:9" x14ac:dyDescent="0.3">
      <c r="I20" s="8"/>
    </row>
    <row r="21" spans="9:9" x14ac:dyDescent="0.3">
      <c r="I21" s="8"/>
    </row>
    <row r="22" spans="9:9" x14ac:dyDescent="0.3">
      <c r="I22" s="8"/>
    </row>
    <row r="23" spans="9:9" x14ac:dyDescent="0.3">
      <c r="I23" s="8"/>
    </row>
    <row r="24" spans="9:9" x14ac:dyDescent="0.3">
      <c r="I24" s="8"/>
    </row>
    <row r="25" spans="9:9" x14ac:dyDescent="0.3">
      <c r="I25" s="8"/>
    </row>
    <row r="26" spans="9:9" x14ac:dyDescent="0.3">
      <c r="I26" s="8"/>
    </row>
    <row r="28" spans="9:9" x14ac:dyDescent="0.3">
      <c r="I28" s="8"/>
    </row>
    <row r="30" spans="9:9" x14ac:dyDescent="0.3">
      <c r="I30" s="8"/>
    </row>
    <row r="32" spans="9:9" x14ac:dyDescent="0.3">
      <c r="I32" s="8"/>
    </row>
    <row r="33" spans="9:9" x14ac:dyDescent="0.3">
      <c r="I33" s="8"/>
    </row>
    <row r="35" spans="9:9" x14ac:dyDescent="0.3">
      <c r="I35" s="8"/>
    </row>
    <row r="36" spans="9:9" x14ac:dyDescent="0.3">
      <c r="I36" s="8"/>
    </row>
    <row r="37" spans="9:9" x14ac:dyDescent="0.3">
      <c r="I37" s="8"/>
    </row>
    <row r="38" spans="9:9" x14ac:dyDescent="0.3">
      <c r="I38" s="8"/>
    </row>
    <row r="39" spans="9:9" x14ac:dyDescent="0.3">
      <c r="I39" s="8"/>
    </row>
    <row r="40" spans="9:9" x14ac:dyDescent="0.3">
      <c r="I40" s="8"/>
    </row>
    <row r="41" spans="9:9" x14ac:dyDescent="0.3">
      <c r="I41" s="8"/>
    </row>
    <row r="42" spans="9:9" x14ac:dyDescent="0.3">
      <c r="I42" s="8"/>
    </row>
    <row r="43" spans="9:9" x14ac:dyDescent="0.3">
      <c r="I43" s="8"/>
    </row>
    <row r="44" spans="9:9" x14ac:dyDescent="0.3">
      <c r="I44" s="8"/>
    </row>
    <row r="45" spans="9:9" x14ac:dyDescent="0.3">
      <c r="I45" s="8"/>
    </row>
    <row r="46" spans="9:9" x14ac:dyDescent="0.3">
      <c r="I46" s="8"/>
    </row>
    <row r="47" spans="9:9" x14ac:dyDescent="0.3">
      <c r="I47" s="8"/>
    </row>
    <row r="48" spans="9:9" x14ac:dyDescent="0.3">
      <c r="I48" s="8"/>
    </row>
    <row r="49" spans="9:9" x14ac:dyDescent="0.3">
      <c r="I49" s="8"/>
    </row>
    <row r="50" spans="9:9" x14ac:dyDescent="0.3">
      <c r="I50" s="8"/>
    </row>
    <row r="51" spans="9:9" x14ac:dyDescent="0.3">
      <c r="I51" s="8"/>
    </row>
    <row r="52" spans="9:9" x14ac:dyDescent="0.3">
      <c r="I52" s="8"/>
    </row>
    <row r="53" spans="9:9" x14ac:dyDescent="0.3">
      <c r="I53" s="8"/>
    </row>
    <row r="54" spans="9:9" x14ac:dyDescent="0.3">
      <c r="I54" s="8"/>
    </row>
    <row r="55" spans="9:9" x14ac:dyDescent="0.3">
      <c r="I55" s="8"/>
    </row>
    <row r="60" spans="9:9" x14ac:dyDescent="0.3">
      <c r="I60" s="8"/>
    </row>
    <row r="63" spans="9:9" x14ac:dyDescent="0.3">
      <c r="I63" s="8"/>
    </row>
    <row r="64" spans="9:9" x14ac:dyDescent="0.3">
      <c r="I64" s="8"/>
    </row>
    <row r="65" spans="9:9" x14ac:dyDescent="0.3">
      <c r="I65" s="8"/>
    </row>
    <row r="66" spans="9:9" x14ac:dyDescent="0.3">
      <c r="I66" s="8"/>
    </row>
    <row r="67" spans="9:9" x14ac:dyDescent="0.3">
      <c r="I67" s="8"/>
    </row>
    <row r="68" spans="9:9" x14ac:dyDescent="0.3">
      <c r="I68" s="8"/>
    </row>
    <row r="69" spans="9:9" x14ac:dyDescent="0.3">
      <c r="I69" s="8"/>
    </row>
    <row r="70" spans="9:9" x14ac:dyDescent="0.3">
      <c r="I70" s="8"/>
    </row>
    <row r="71" spans="9:9" x14ac:dyDescent="0.3">
      <c r="I71" s="8"/>
    </row>
    <row r="74" spans="9:9" x14ac:dyDescent="0.3">
      <c r="I74" s="8"/>
    </row>
    <row r="76" spans="9:9" x14ac:dyDescent="0.3">
      <c r="I76" s="8"/>
    </row>
    <row r="77" spans="9:9" x14ac:dyDescent="0.3">
      <c r="I77" s="8"/>
    </row>
    <row r="78" spans="9:9" x14ac:dyDescent="0.3">
      <c r="I78" s="8"/>
    </row>
    <row r="79" spans="9:9" x14ac:dyDescent="0.3">
      <c r="I79" s="8"/>
    </row>
    <row r="80" spans="9:9" x14ac:dyDescent="0.3">
      <c r="I80" s="8"/>
    </row>
    <row r="82" spans="9:9" x14ac:dyDescent="0.3">
      <c r="I82" s="8"/>
    </row>
    <row r="83" spans="9:9" x14ac:dyDescent="0.3">
      <c r="I83" s="8"/>
    </row>
    <row r="84" spans="9:9" x14ac:dyDescent="0.3">
      <c r="I84" s="8"/>
    </row>
    <row r="85" spans="9:9" x14ac:dyDescent="0.3">
      <c r="I85" s="8"/>
    </row>
    <row r="86" spans="9:9" x14ac:dyDescent="0.3">
      <c r="I86" s="8"/>
    </row>
    <row r="87" spans="9:9" x14ac:dyDescent="0.3">
      <c r="I87" s="8"/>
    </row>
    <row r="88" spans="9:9" x14ac:dyDescent="0.3">
      <c r="I88" s="8"/>
    </row>
    <row r="89" spans="9:9" x14ac:dyDescent="0.3">
      <c r="I89" s="8"/>
    </row>
    <row r="90" spans="9:9" x14ac:dyDescent="0.3">
      <c r="I90" s="11"/>
    </row>
    <row r="91" spans="9:9" x14ac:dyDescent="0.3">
      <c r="I91" s="8"/>
    </row>
    <row r="92" spans="9:9" x14ac:dyDescent="0.3">
      <c r="I92" s="8"/>
    </row>
    <row r="93" spans="9:9" x14ac:dyDescent="0.3">
      <c r="I93" s="8"/>
    </row>
    <row r="94" spans="9:9" x14ac:dyDescent="0.3">
      <c r="I94" s="8"/>
    </row>
    <row r="95" spans="9:9" x14ac:dyDescent="0.3">
      <c r="I95" s="8"/>
    </row>
    <row r="96" spans="9:9" x14ac:dyDescent="0.3">
      <c r="I96" s="8"/>
    </row>
    <row r="97" spans="9:9" x14ac:dyDescent="0.3">
      <c r="I97" s="8"/>
    </row>
    <row r="98" spans="9:9" x14ac:dyDescent="0.3">
      <c r="I98" s="8"/>
    </row>
    <row r="99" spans="9:9" x14ac:dyDescent="0.3">
      <c r="I99" s="8"/>
    </row>
    <row r="100" spans="9:9" x14ac:dyDescent="0.3">
      <c r="I100" s="8"/>
    </row>
    <row r="101" spans="9:9" x14ac:dyDescent="0.3">
      <c r="I101" s="8"/>
    </row>
    <row r="102" spans="9:9" x14ac:dyDescent="0.3">
      <c r="I102" s="8"/>
    </row>
    <row r="103" spans="9:9" x14ac:dyDescent="0.3">
      <c r="I103" s="8"/>
    </row>
    <row r="104" spans="9:9" x14ac:dyDescent="0.3">
      <c r="I104" s="8"/>
    </row>
    <row r="106" spans="9:9" x14ac:dyDescent="0.3">
      <c r="I106" s="8"/>
    </row>
    <row r="107" spans="9:9" x14ac:dyDescent="0.3">
      <c r="I107" s="8"/>
    </row>
    <row r="108" spans="9:9" x14ac:dyDescent="0.3">
      <c r="I108" s="8"/>
    </row>
    <row r="109" spans="9:9" x14ac:dyDescent="0.3">
      <c r="I109" s="8"/>
    </row>
    <row r="110" spans="9:9" x14ac:dyDescent="0.3">
      <c r="I110" s="8"/>
    </row>
    <row r="111" spans="9:9" x14ac:dyDescent="0.3">
      <c r="I111" s="8"/>
    </row>
    <row r="112" spans="9:9" x14ac:dyDescent="0.3">
      <c r="I112" s="8"/>
    </row>
    <row r="113" spans="9:9" x14ac:dyDescent="0.3">
      <c r="I113" s="8"/>
    </row>
  </sheetData>
  <sortState xmlns:xlrd2="http://schemas.microsoft.com/office/spreadsheetml/2017/richdata2" ref="J1:J114">
    <sortCondition ref="J1:J1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stats</vt:lpstr>
      <vt:lpstr>viz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cp:lastPrinted>2026-08-12T04:49:37Z</cp:lastPrinted>
  <dcterms:created xsi:type="dcterms:W3CDTF">2026-08-11T21:19:36Z</dcterms:created>
  <dcterms:modified xsi:type="dcterms:W3CDTF">2026-08-13T03:57:02Z</dcterms:modified>
</cp:coreProperties>
</file>